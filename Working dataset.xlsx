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Working data" sheetId="1" r:id="rId1"/>
  </sheets>
  <calcPr calcId="145621"/>
</workbook>
</file>

<file path=xl/calcChain.xml><?xml version="1.0" encoding="utf-8"?>
<calcChain xmlns="http://schemas.openxmlformats.org/spreadsheetml/2006/main">
  <c r="N100" i="1" l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<sst xmlns="http://schemas.openxmlformats.org/spreadsheetml/2006/main" count="509" uniqueCount="134">
  <si>
    <t>Device Name</t>
  </si>
  <si>
    <t xml:space="preserve">Compliance </t>
  </si>
  <si>
    <t>Violation Type</t>
  </si>
  <si>
    <t>Violation Date</t>
  </si>
  <si>
    <t>City</t>
  </si>
  <si>
    <t>Total Rules</t>
  </si>
  <si>
    <t>Total Violations</t>
  </si>
  <si>
    <t>Active Violations</t>
  </si>
  <si>
    <t>Solved Violations</t>
  </si>
  <si>
    <t>Ignored Violations</t>
  </si>
  <si>
    <t>Solving Time</t>
  </si>
  <si>
    <t>Environment Managed</t>
  </si>
  <si>
    <t>Environment Disabled</t>
  </si>
  <si>
    <t>Year</t>
  </si>
  <si>
    <t>Device_106</t>
  </si>
  <si>
    <t>Severe Violation</t>
  </si>
  <si>
    <t>Illegal U-turn</t>
  </si>
  <si>
    <t>New York</t>
  </si>
  <si>
    <t>&lt;1 Week</t>
  </si>
  <si>
    <t>Device_107</t>
  </si>
  <si>
    <t>Compliant</t>
  </si>
  <si>
    <t>Seatbelt Violation</t>
  </si>
  <si>
    <t>Tokyo</t>
  </si>
  <si>
    <t>&lt;12 Hours</t>
  </si>
  <si>
    <t>Device_108</t>
  </si>
  <si>
    <t>Light Violation</t>
  </si>
  <si>
    <t>Red Light Violation</t>
  </si>
  <si>
    <t>Paris</t>
  </si>
  <si>
    <t>Device_109</t>
  </si>
  <si>
    <t>Medium Violation</t>
  </si>
  <si>
    <t>Speeding</t>
  </si>
  <si>
    <t>Sydney</t>
  </si>
  <si>
    <t>Device_110</t>
  </si>
  <si>
    <t>Mumbai</t>
  </si>
  <si>
    <t>&lt;1 Month</t>
  </si>
  <si>
    <t>Device_111</t>
  </si>
  <si>
    <t>No License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</si>
  <si>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</si>
  <si>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</si>
  <si>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</si>
  <si>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</si>
  <si>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</si>
  <si>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</si>
  <si>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</si>
  <si>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No Helmet</t>
  </si>
  <si>
    <t>Device_119</t>
  </si>
  <si>
    <t>Device_120</t>
  </si>
  <si>
    <t>&lt;1 Day</t>
  </si>
  <si>
    <t>Device_121</t>
  </si>
  <si>
    <t>Device_122</t>
  </si>
  <si>
    <t>Device_123</t>
  </si>
  <si>
    <t>Device_124</t>
  </si>
  <si>
    <t>London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</si>
  <si>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</si>
  <si>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</si>
  <si>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</si>
  <si>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</si>
  <si>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</si>
  <si>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</si>
  <si>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</si>
  <si>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</si>
  <si>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</si>
  <si>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</si>
  <si>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Singapore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</si>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</sst>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0" totalsRowShown="0">
  <autoFilter ref="A1:N100"/>
  <tableColumns count="14">
    <tableColumn id="1" name="Device Name"/>
    <tableColumn id="2" name="Compliance "/>
    <tableColumn id="3" name="Violation Type"/>
    <tableColumn id="4" name="Violation Date" dataDxfId="2"/>
    <tableColumn id="5" name="City"/>
    <tableColumn id="6" name="Total Rules" dataDxfId="1"/>
    <tableColumn id="7" name="Total Violations"/>
    <tableColumn id="8" name="Active Violations"/>
    <tableColumn id="9" name="Solved Violations"/>
    <tableColumn id="10" name="Ignored Violations"/>
    <tableColumn id="11" name="Solving Time"/>
    <tableColumn id="12" name="Environment Managed"/>
    <tableColumn id="13" name="Environment Disabled"/>
    <tableColumn id="14" name="Year" dataDxfId="0">
      <calculatedColumnFormula>YEAR(Table1[[#This Row],[Violation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workbookViewId="0">
      <pane ySplit="1" topLeftCell="A2" activePane="bottomLeft" state="frozen"/>
      <selection pane="bottomLeft" activeCell="A2" sqref="A2:N100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16.33203125" bestFit="1" customWidth="1"/>
    <col min="4" max="4" width="15.109375" bestFit="1" customWidth="1"/>
    <col min="5" max="5" width="9" bestFit="1" customWidth="1"/>
    <col min="6" max="6" width="14.109375" style="2" bestFit="1" customWidth="1"/>
    <col min="7" max="7" width="16.33203125" bestFit="1" customWidth="1"/>
    <col min="8" max="8" width="17.33203125" bestFit="1" customWidth="1"/>
    <col min="9" max="9" width="17.77734375" bestFit="1" customWidth="1"/>
    <col min="10" max="10" width="18.6640625" bestFit="1" customWidth="1"/>
    <col min="11" max="11" width="13.88671875" bestFit="1" customWidth="1"/>
    <col min="12" max="12" width="22.77734375" bestFit="1" customWidth="1"/>
    <col min="13" max="13" width="21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45047</v>
      </c>
      <c r="E2" t="s">
        <v>17</v>
      </c>
      <c r="F2" s="2">
        <v>16</v>
      </c>
      <c r="G2">
        <v>50</v>
      </c>
      <c r="H2">
        <v>28</v>
      </c>
      <c r="I2">
        <v>13</v>
      </c>
      <c r="J2">
        <v>6</v>
      </c>
      <c r="K2" t="s">
        <v>18</v>
      </c>
      <c r="L2">
        <v>14</v>
      </c>
      <c r="M2">
        <v>4</v>
      </c>
      <c r="N2">
        <f>YEAR(Table1[[#This Row],[Violation Date]])</f>
        <v>2023</v>
      </c>
    </row>
    <row r="3" spans="1:14" x14ac:dyDescent="0.3">
      <c r="A3" t="s">
        <v>19</v>
      </c>
      <c r="B3" t="s">
        <v>20</v>
      </c>
      <c r="C3" t="s">
        <v>21</v>
      </c>
      <c r="D3" s="1">
        <v>45615</v>
      </c>
      <c r="E3" t="s">
        <v>22</v>
      </c>
      <c r="F3" s="2">
        <v>16</v>
      </c>
      <c r="G3">
        <v>14</v>
      </c>
      <c r="H3">
        <v>5</v>
      </c>
      <c r="I3">
        <v>6</v>
      </c>
      <c r="J3">
        <v>4</v>
      </c>
      <c r="K3" t="s">
        <v>23</v>
      </c>
      <c r="L3">
        <v>19</v>
      </c>
      <c r="M3">
        <v>2</v>
      </c>
      <c r="N3">
        <f>YEAR(Table1[[#This Row],[Violation Date]])</f>
        <v>2024</v>
      </c>
    </row>
    <row r="4" spans="1:14" x14ac:dyDescent="0.3">
      <c r="A4" t="s">
        <v>24</v>
      </c>
      <c r="B4" t="s">
        <v>25</v>
      </c>
      <c r="C4" t="s">
        <v>26</v>
      </c>
      <c r="D4" s="1">
        <v>45601</v>
      </c>
      <c r="E4" t="s">
        <v>27</v>
      </c>
      <c r="F4" s="2">
        <v>16</v>
      </c>
      <c r="G4">
        <v>10</v>
      </c>
      <c r="H4">
        <v>9</v>
      </c>
      <c r="I4">
        <v>9</v>
      </c>
      <c r="J4">
        <v>9</v>
      </c>
      <c r="K4" t="s">
        <v>18</v>
      </c>
      <c r="L4">
        <v>15</v>
      </c>
      <c r="M4">
        <v>1</v>
      </c>
      <c r="N4">
        <f>YEAR(Table1[[#This Row],[Violation Date]])</f>
        <v>2024</v>
      </c>
    </row>
    <row r="5" spans="1:14" x14ac:dyDescent="0.3">
      <c r="A5" t="s">
        <v>28</v>
      </c>
      <c r="B5" t="s">
        <v>29</v>
      </c>
      <c r="C5" t="s">
        <v>30</v>
      </c>
      <c r="D5" s="1">
        <v>45564</v>
      </c>
      <c r="E5" t="s">
        <v>31</v>
      </c>
      <c r="F5" s="2">
        <v>10</v>
      </c>
      <c r="G5">
        <v>0</v>
      </c>
      <c r="H5">
        <v>11</v>
      </c>
      <c r="I5">
        <v>5</v>
      </c>
      <c r="J5">
        <v>6</v>
      </c>
      <c r="K5" t="s">
        <v>23</v>
      </c>
      <c r="L5">
        <v>11</v>
      </c>
      <c r="M5">
        <v>1</v>
      </c>
      <c r="N5">
        <f>YEAR(Table1[[#This Row],[Violation Date]])</f>
        <v>2024</v>
      </c>
    </row>
    <row r="6" spans="1:14" x14ac:dyDescent="0.3">
      <c r="A6" t="s">
        <v>32</v>
      </c>
      <c r="B6" t="s">
        <v>25</v>
      </c>
      <c r="C6" t="s">
        <v>21</v>
      </c>
      <c r="D6" s="1">
        <v>45542</v>
      </c>
      <c r="E6" t="s">
        <v>33</v>
      </c>
      <c r="F6" s="2">
        <v>15</v>
      </c>
      <c r="G6">
        <v>10</v>
      </c>
      <c r="H6">
        <v>9</v>
      </c>
      <c r="I6">
        <v>12</v>
      </c>
      <c r="J6">
        <v>4</v>
      </c>
      <c r="K6" t="s">
        <v>34</v>
      </c>
      <c r="L6">
        <v>12</v>
      </c>
      <c r="M6">
        <v>1</v>
      </c>
      <c r="N6">
        <f>YEAR(Table1[[#This Row],[Violation Date]])</f>
        <v>2024</v>
      </c>
    </row>
    <row r="7" spans="1:14" x14ac:dyDescent="0.3">
      <c r="A7" t="s">
        <v>35</v>
      </c>
      <c r="B7" t="s">
        <v>15</v>
      </c>
      <c r="C7" t="s">
        <v>36</v>
      </c>
      <c r="D7" s="1">
        <v>45460</v>
      </c>
      <c r="E7" t="s">
        <v>22</v>
      </c>
      <c r="F7" s="2">
        <v>18</v>
      </c>
      <c r="G7">
        <v>19</v>
      </c>
      <c r="H7">
        <v>9</v>
      </c>
      <c r="I7">
        <v>14</v>
      </c>
      <c r="J7">
        <v>4</v>
      </c>
      <c r="K7" t="s">
        <v>18</v>
      </c>
      <c r="L7">
        <v>14</v>
      </c>
      <c r="M7">
        <v>1</v>
      </c>
      <c r="N7">
        <f>YEAR(Table1[[#This Row],[Violation Date]])</f>
        <v>2024</v>
      </c>
    </row>
    <row r="8" spans="1:14" x14ac:dyDescent="0.3">
      <c r="A8" t="s">
        <v>37</v>
      </c>
      <c r="B8" t="s">
        <v>25</v>
      </c>
      <c r="C8" t="s">
        <v>21</v>
      </c>
      <c r="D8" s="1">
        <v>45018</v>
      </c>
      <c r="E8" t="s">
        <v>17</v>
      </c>
      <c r="F8" s="2">
        <v>16</v>
      </c>
      <c r="G8">
        <v>10</v>
      </c>
      <c r="H8">
        <v>9</v>
      </c>
      <c r="I8">
        <v>6</v>
      </c>
      <c r="J8">
        <v>7</v>
      </c>
      <c r="K8" t="s">
        <v>23</v>
      </c>
      <c r="L8">
        <v>17</v>
      </c>
      <c r="M8">
        <v>1</v>
      </c>
      <c r="N8">
        <f>YEAR(Table1[[#This Row],[Violation Date]])</f>
        <v>2023</v>
      </c>
    </row>
    <row r="9" spans="1:14" x14ac:dyDescent="0.3">
      <c r="A9" t="s">
        <v>38</v>
      </c>
      <c r="B9" t="s">
        <v>15</v>
      </c>
      <c r="C9" t="s">
        <v>30</v>
      </c>
      <c r="D9" s="1">
        <v>45335</v>
      </c>
      <c r="E9" t="s">
        <v>27</v>
      </c>
      <c r="F9" s="2">
        <v>25</v>
      </c>
      <c r="G9">
        <v>15</v>
      </c>
      <c r="H9">
        <v>14</v>
      </c>
      <c r="I9">
        <v>11</v>
      </c>
      <c r="J9">
        <v>4</v>
      </c>
      <c r="K9" t="s">
        <v>34</v>
      </c>
      <c r="L9">
        <v>15</v>
      </c>
      <c r="M9">
        <v>4</v>
      </c>
      <c r="N9">
        <f>YEAR(Table1[[#This Row],[Violation Date]])</f>
        <v>2024</v>
      </c>
    </row>
    <row r="10" spans="1:14" x14ac:dyDescent="0.3">
      <c r="A10" t="s">
        <v>39</v>
      </c>
      <c r="B10" t="s">
        <v>15</v>
      </c>
      <c r="C10" t="s">
        <v>26</v>
      </c>
      <c r="D10" s="1">
        <v>45104</v>
      </c>
      <c r="E10" t="s">
        <v>31</v>
      </c>
      <c r="F10" s="2">
        <v>18</v>
      </c>
      <c r="G10">
        <v>14</v>
      </c>
      <c r="H10">
        <v>1</v>
      </c>
      <c r="I10">
        <v>13</v>
      </c>
      <c r="J10">
        <v>2</v>
      </c>
      <c r="K10" t="s">
        <v>34</v>
      </c>
      <c r="L10">
        <v>11</v>
      </c>
      <c r="M10">
        <v>2</v>
      </c>
      <c r="N10">
        <f>YEAR(Table1[[#This Row],[Violation Date]])</f>
        <v>2023</v>
      </c>
    </row>
    <row r="11" spans="1:14" x14ac:dyDescent="0.3">
      <c r="A11" t="s">
        <v>40</v>
      </c>
      <c r="B11" t="s">
        <v>15</v>
      </c>
      <c r="C11" t="s">
        <v>26</v>
      </c>
      <c r="D11" s="1">
        <v>44927</v>
      </c>
      <c r="E11" t="s">
        <v>33</v>
      </c>
      <c r="F11" s="2">
        <v>20</v>
      </c>
      <c r="G11">
        <v>19</v>
      </c>
      <c r="H11">
        <v>6</v>
      </c>
      <c r="I11">
        <v>13</v>
      </c>
      <c r="J11">
        <v>7</v>
      </c>
      <c r="K11" t="s">
        <v>23</v>
      </c>
      <c r="L11">
        <v>14</v>
      </c>
      <c r="M11">
        <v>2</v>
      </c>
      <c r="N11">
        <f>YEAR(Table1[[#This Row],[Violation Date]])</f>
        <v>2023</v>
      </c>
    </row>
    <row r="12" spans="1:14" x14ac:dyDescent="0.3">
      <c r="A12" t="s">
        <v>41</v>
      </c>
      <c r="B12" t="s">
        <v>15</v>
      </c>
      <c r="C12" t="s">
        <v>21</v>
      </c>
      <c r="D12" s="1">
        <v>45313</v>
      </c>
      <c r="E12" t="s">
        <v>31</v>
      </c>
      <c r="F12" s="2">
        <v>20</v>
      </c>
      <c r="G12">
        <v>14</v>
      </c>
      <c r="H12">
        <v>9</v>
      </c>
      <c r="I12">
        <v>15</v>
      </c>
      <c r="J12">
        <v>3</v>
      </c>
      <c r="K12" t="s">
        <v>18</v>
      </c>
      <c r="L12">
        <v>19</v>
      </c>
      <c r="M12">
        <v>1</v>
      </c>
      <c r="N12">
        <f>YEAR(Table1[[#This Row],[Violation Date]])</f>
        <v>2024</v>
      </c>
    </row>
    <row r="13" spans="1:14" x14ac:dyDescent="0.3">
      <c r="A13" t="s">
        <v>42</v>
      </c>
      <c r="B13" t="s">
        <v>15</v>
      </c>
      <c r="C13" t="s">
        <v>21</v>
      </c>
      <c r="D13" s="1">
        <v>44947</v>
      </c>
      <c r="E13" t="s">
        <v>33</v>
      </c>
      <c r="F13" s="2">
        <v>18</v>
      </c>
      <c r="G13">
        <v>23</v>
      </c>
      <c r="H13">
        <v>12</v>
      </c>
      <c r="I13">
        <v>13</v>
      </c>
      <c r="J13">
        <v>4</v>
      </c>
      <c r="K13" t="s">
        <v>18</v>
      </c>
      <c r="L13">
        <v>10</v>
      </c>
      <c r="M13">
        <v>2</v>
      </c>
      <c r="N13">
        <f>YEAR(Table1[[#This Row],[Violation Date]])</f>
        <v>2023</v>
      </c>
    </row>
    <row r="14" spans="1:14" x14ac:dyDescent="0.3">
      <c r="A14" t="s">
        <v>43</v>
      </c>
      <c r="B14" t="s">
        <v>25</v>
      </c>
      <c r="C14" t="s">
        <v>44</v>
      </c>
      <c r="D14" s="1">
        <v>45618</v>
      </c>
      <c r="E14" t="s">
        <v>17</v>
      </c>
      <c r="F14" s="2">
        <v>18</v>
      </c>
      <c r="G14">
        <v>10</v>
      </c>
      <c r="H14">
        <v>9</v>
      </c>
      <c r="I14">
        <v>15</v>
      </c>
      <c r="J14">
        <v>5</v>
      </c>
      <c r="K14" t="s">
        <v>23</v>
      </c>
      <c r="L14">
        <v>16</v>
      </c>
      <c r="M14">
        <v>2</v>
      </c>
      <c r="N14">
        <f>YEAR(Table1[[#This Row],[Violation Date]])</f>
        <v>2024</v>
      </c>
    </row>
    <row r="15" spans="1:14" x14ac:dyDescent="0.3">
      <c r="A15" t="s">
        <v>45</v>
      </c>
      <c r="B15" t="s">
        <v>25</v>
      </c>
      <c r="C15" t="s">
        <v>21</v>
      </c>
      <c r="D15" s="1">
        <v>45397</v>
      </c>
      <c r="E15" t="s">
        <v>27</v>
      </c>
      <c r="F15" s="2">
        <v>20</v>
      </c>
      <c r="G15">
        <v>10</v>
      </c>
      <c r="H15">
        <v>9</v>
      </c>
      <c r="I15">
        <v>9</v>
      </c>
      <c r="J15">
        <v>2</v>
      </c>
      <c r="K15" t="s">
        <v>23</v>
      </c>
      <c r="L15">
        <v>14</v>
      </c>
      <c r="M15">
        <v>5</v>
      </c>
      <c r="N15">
        <f>YEAR(Table1[[#This Row],[Violation Date]])</f>
        <v>2024</v>
      </c>
    </row>
    <row r="16" spans="1:14" x14ac:dyDescent="0.3">
      <c r="A16" t="s">
        <v>46</v>
      </c>
      <c r="B16" t="s">
        <v>29</v>
      </c>
      <c r="C16" t="s">
        <v>21</v>
      </c>
      <c r="D16" s="1">
        <v>45217</v>
      </c>
      <c r="E16" t="s">
        <v>22</v>
      </c>
      <c r="F16" s="2">
        <v>17</v>
      </c>
      <c r="G16">
        <v>10</v>
      </c>
      <c r="H16">
        <v>9</v>
      </c>
      <c r="I16">
        <v>5</v>
      </c>
      <c r="J16">
        <v>2</v>
      </c>
      <c r="K16" t="s">
        <v>47</v>
      </c>
      <c r="L16">
        <v>19</v>
      </c>
      <c r="M16">
        <v>3</v>
      </c>
      <c r="N16">
        <f>YEAR(Table1[[#This Row],[Violation Date]])</f>
        <v>2023</v>
      </c>
    </row>
    <row r="17" spans="1:14" x14ac:dyDescent="0.3">
      <c r="A17" t="s">
        <v>48</v>
      </c>
      <c r="B17" t="s">
        <v>20</v>
      </c>
      <c r="C17" t="s">
        <v>26</v>
      </c>
      <c r="D17" s="1">
        <v>44935</v>
      </c>
      <c r="E17" t="s">
        <v>33</v>
      </c>
      <c r="F17" s="2">
        <v>16</v>
      </c>
      <c r="G17">
        <v>39</v>
      </c>
      <c r="H17">
        <v>15</v>
      </c>
      <c r="I17">
        <v>5</v>
      </c>
      <c r="J17">
        <v>5</v>
      </c>
      <c r="K17" t="s">
        <v>34</v>
      </c>
      <c r="L17">
        <v>18</v>
      </c>
      <c r="M17">
        <v>3</v>
      </c>
      <c r="N17">
        <f>YEAR(Table1[[#This Row],[Violation Date]])</f>
        <v>2023</v>
      </c>
    </row>
    <row r="18" spans="1:14" x14ac:dyDescent="0.3">
      <c r="A18" t="s">
        <v>49</v>
      </c>
      <c r="B18" t="s">
        <v>15</v>
      </c>
      <c r="C18" t="s">
        <v>44</v>
      </c>
      <c r="D18" s="1">
        <v>45265</v>
      </c>
      <c r="E18" t="s">
        <v>31</v>
      </c>
      <c r="F18" s="2">
        <v>10</v>
      </c>
      <c r="G18">
        <v>35</v>
      </c>
      <c r="H18">
        <v>9</v>
      </c>
      <c r="I18">
        <v>13</v>
      </c>
      <c r="J18">
        <v>2</v>
      </c>
      <c r="K18" t="s">
        <v>47</v>
      </c>
      <c r="L18">
        <v>11</v>
      </c>
      <c r="M18">
        <v>5</v>
      </c>
      <c r="N18">
        <f>YEAR(Table1[[#This Row],[Violation Date]])</f>
        <v>2023</v>
      </c>
    </row>
    <row r="19" spans="1:14" x14ac:dyDescent="0.3">
      <c r="A19" t="s">
        <v>50</v>
      </c>
      <c r="B19" t="s">
        <v>29</v>
      </c>
      <c r="C19" t="s">
        <v>44</v>
      </c>
      <c r="D19" s="1">
        <v>45315</v>
      </c>
      <c r="E19" t="s">
        <v>17</v>
      </c>
      <c r="F19" s="2">
        <v>18</v>
      </c>
      <c r="G19">
        <v>16</v>
      </c>
      <c r="H19">
        <v>30</v>
      </c>
      <c r="I19">
        <v>14</v>
      </c>
      <c r="J19">
        <v>13</v>
      </c>
      <c r="K19" t="s">
        <v>34</v>
      </c>
      <c r="L19">
        <v>11</v>
      </c>
      <c r="M19">
        <v>2</v>
      </c>
      <c r="N19">
        <f>YEAR(Table1[[#This Row],[Violation Date]])</f>
        <v>2024</v>
      </c>
    </row>
    <row r="20" spans="1:14" x14ac:dyDescent="0.3">
      <c r="A20" t="s">
        <v>51</v>
      </c>
      <c r="B20" t="s">
        <v>15</v>
      </c>
      <c r="C20" t="s">
        <v>30</v>
      </c>
      <c r="D20" s="1">
        <v>45552</v>
      </c>
      <c r="E20" t="s">
        <v>52</v>
      </c>
      <c r="F20" s="2">
        <v>50</v>
      </c>
      <c r="G20">
        <v>20</v>
      </c>
      <c r="H20">
        <v>38</v>
      </c>
      <c r="I20">
        <v>5</v>
      </c>
      <c r="J20">
        <v>6</v>
      </c>
      <c r="K20" t="s">
        <v>18</v>
      </c>
      <c r="L20">
        <v>11</v>
      </c>
      <c r="M20">
        <v>5</v>
      </c>
      <c r="N20">
        <f>YEAR(Table1[[#This Row],[Violation Date]])</f>
        <v>2024</v>
      </c>
    </row>
    <row r="21" spans="1:14" x14ac:dyDescent="0.3">
      <c r="A21" t="s">
        <v>53</v>
      </c>
      <c r="B21" t="s">
        <v>15</v>
      </c>
      <c r="C21" t="s">
        <v>16</v>
      </c>
      <c r="D21" s="1">
        <v>45039</v>
      </c>
      <c r="E21" t="s">
        <v>27</v>
      </c>
      <c r="F21" s="2">
        <v>17</v>
      </c>
      <c r="G21">
        <v>46</v>
      </c>
      <c r="H21">
        <v>15</v>
      </c>
      <c r="I21">
        <v>11</v>
      </c>
      <c r="J21">
        <v>2</v>
      </c>
      <c r="K21" t="s">
        <v>34</v>
      </c>
      <c r="L21">
        <v>10</v>
      </c>
      <c r="M21">
        <v>5</v>
      </c>
      <c r="N21">
        <f>YEAR(Table1[[#This Row],[Violation Date]])</f>
        <v>2023</v>
      </c>
    </row>
    <row r="22" spans="1:14" x14ac:dyDescent="0.3">
      <c r="A22" t="s">
        <v>54</v>
      </c>
      <c r="B22" t="s">
        <v>15</v>
      </c>
      <c r="C22" t="s">
        <v>30</v>
      </c>
      <c r="D22" s="1">
        <v>45340</v>
      </c>
      <c r="E22" t="s">
        <v>31</v>
      </c>
      <c r="F22" s="2">
        <v>75</v>
      </c>
      <c r="G22">
        <v>50</v>
      </c>
      <c r="H22">
        <v>28</v>
      </c>
      <c r="I22">
        <v>8</v>
      </c>
      <c r="J22">
        <v>3</v>
      </c>
      <c r="K22" t="s">
        <v>18</v>
      </c>
      <c r="L22">
        <v>15</v>
      </c>
      <c r="M22">
        <v>4</v>
      </c>
      <c r="N22">
        <f>YEAR(Table1[[#This Row],[Violation Date]])</f>
        <v>2024</v>
      </c>
    </row>
    <row r="23" spans="1:14" x14ac:dyDescent="0.3">
      <c r="A23" t="s">
        <v>55</v>
      </c>
      <c r="B23" t="s">
        <v>29</v>
      </c>
      <c r="C23" t="s">
        <v>36</v>
      </c>
      <c r="D23" s="1">
        <v>45237</v>
      </c>
      <c r="E23" t="s">
        <v>33</v>
      </c>
      <c r="F23" s="2">
        <v>10</v>
      </c>
      <c r="G23">
        <v>16</v>
      </c>
      <c r="H23">
        <v>13</v>
      </c>
      <c r="I23">
        <v>6</v>
      </c>
      <c r="J23">
        <v>9</v>
      </c>
      <c r="K23" t="s">
        <v>47</v>
      </c>
      <c r="L23">
        <v>18</v>
      </c>
      <c r="M23">
        <v>1</v>
      </c>
      <c r="N23">
        <f>YEAR(Table1[[#This Row],[Violation Date]])</f>
        <v>2023</v>
      </c>
    </row>
    <row r="24" spans="1:14" x14ac:dyDescent="0.3">
      <c r="A24" t="s">
        <v>56</v>
      </c>
      <c r="B24" t="s">
        <v>20</v>
      </c>
      <c r="C24" t="s">
        <v>21</v>
      </c>
      <c r="D24" s="1">
        <v>45209</v>
      </c>
      <c r="E24" t="s">
        <v>27</v>
      </c>
      <c r="F24" s="2">
        <v>15</v>
      </c>
      <c r="G24">
        <v>10</v>
      </c>
      <c r="H24">
        <v>13</v>
      </c>
      <c r="I24">
        <v>9</v>
      </c>
      <c r="J24">
        <v>7</v>
      </c>
      <c r="K24" t="s">
        <v>34</v>
      </c>
      <c r="L24">
        <v>19</v>
      </c>
      <c r="M24">
        <v>4</v>
      </c>
      <c r="N24">
        <f>YEAR(Table1[[#This Row],[Violation Date]])</f>
        <v>2023</v>
      </c>
    </row>
    <row r="25" spans="1:14" x14ac:dyDescent="0.3">
      <c r="A25" t="s">
        <v>57</v>
      </c>
      <c r="B25" t="s">
        <v>25</v>
      </c>
      <c r="C25" t="s">
        <v>36</v>
      </c>
      <c r="D25" s="1">
        <v>45243</v>
      </c>
      <c r="E25" t="s">
        <v>17</v>
      </c>
      <c r="F25" s="2">
        <v>19</v>
      </c>
      <c r="G25">
        <v>10</v>
      </c>
      <c r="H25">
        <v>11</v>
      </c>
      <c r="I25">
        <v>12</v>
      </c>
      <c r="J25">
        <v>5</v>
      </c>
      <c r="K25" t="s">
        <v>23</v>
      </c>
      <c r="L25">
        <v>18</v>
      </c>
      <c r="M25">
        <v>2</v>
      </c>
      <c r="N25">
        <f>YEAR(Table1[[#This Row],[Violation Date]])</f>
        <v>2023</v>
      </c>
    </row>
    <row r="26" spans="1:14" x14ac:dyDescent="0.3">
      <c r="A26" t="s">
        <v>58</v>
      </c>
      <c r="B26" t="s">
        <v>15</v>
      </c>
      <c r="C26" t="s">
        <v>36</v>
      </c>
      <c r="D26" s="1">
        <v>45480</v>
      </c>
      <c r="E26" t="s">
        <v>31</v>
      </c>
      <c r="F26" s="2">
        <v>12</v>
      </c>
      <c r="G26">
        <v>13</v>
      </c>
      <c r="H26">
        <v>11</v>
      </c>
      <c r="I26">
        <v>14</v>
      </c>
      <c r="J26">
        <v>8</v>
      </c>
      <c r="K26" t="s">
        <v>18</v>
      </c>
      <c r="L26">
        <v>13</v>
      </c>
      <c r="M26">
        <v>1</v>
      </c>
      <c r="N26">
        <f>YEAR(Table1[[#This Row],[Violation Date]])</f>
        <v>2024</v>
      </c>
    </row>
    <row r="27" spans="1:14" x14ac:dyDescent="0.3">
      <c r="A27" t="s">
        <v>59</v>
      </c>
      <c r="B27" t="s">
        <v>29</v>
      </c>
      <c r="C27" t="s">
        <v>44</v>
      </c>
      <c r="D27" s="1">
        <v>45298</v>
      </c>
      <c r="E27" t="s">
        <v>52</v>
      </c>
      <c r="F27" s="2">
        <v>13</v>
      </c>
      <c r="G27">
        <v>16</v>
      </c>
      <c r="H27">
        <v>11</v>
      </c>
      <c r="I27">
        <v>11</v>
      </c>
      <c r="J27">
        <v>6</v>
      </c>
      <c r="K27" t="s">
        <v>18</v>
      </c>
      <c r="L27">
        <v>15</v>
      </c>
      <c r="M27">
        <v>1</v>
      </c>
      <c r="N27">
        <f>YEAR(Table1[[#This Row],[Violation Date]])</f>
        <v>2024</v>
      </c>
    </row>
    <row r="28" spans="1:14" x14ac:dyDescent="0.3">
      <c r="A28" t="s">
        <v>60</v>
      </c>
      <c r="B28" t="s">
        <v>29</v>
      </c>
      <c r="C28" t="s">
        <v>21</v>
      </c>
      <c r="D28" s="1">
        <v>45287</v>
      </c>
      <c r="E28" t="s">
        <v>33</v>
      </c>
      <c r="F28" s="2">
        <v>17</v>
      </c>
      <c r="G28">
        <v>16</v>
      </c>
      <c r="H28">
        <v>4</v>
      </c>
      <c r="I28">
        <v>6</v>
      </c>
      <c r="J28">
        <v>2</v>
      </c>
      <c r="K28" t="s">
        <v>23</v>
      </c>
      <c r="L28">
        <v>17</v>
      </c>
      <c r="M28">
        <v>4</v>
      </c>
      <c r="N28">
        <f>YEAR(Table1[[#This Row],[Violation Date]])</f>
        <v>2023</v>
      </c>
    </row>
    <row r="29" spans="1:14" x14ac:dyDescent="0.3">
      <c r="A29" t="s">
        <v>61</v>
      </c>
      <c r="B29" t="s">
        <v>25</v>
      </c>
      <c r="C29" t="s">
        <v>26</v>
      </c>
      <c r="D29" s="1">
        <v>45390</v>
      </c>
      <c r="E29" t="s">
        <v>17</v>
      </c>
      <c r="F29" s="2">
        <v>17</v>
      </c>
      <c r="G29">
        <v>10</v>
      </c>
      <c r="H29">
        <v>11</v>
      </c>
      <c r="I29">
        <v>9</v>
      </c>
      <c r="J29">
        <v>4</v>
      </c>
      <c r="K29" t="s">
        <v>23</v>
      </c>
      <c r="L29">
        <v>15</v>
      </c>
      <c r="M29">
        <v>1</v>
      </c>
      <c r="N29">
        <f>YEAR(Table1[[#This Row],[Violation Date]])</f>
        <v>2024</v>
      </c>
    </row>
    <row r="30" spans="1:14" x14ac:dyDescent="0.3">
      <c r="A30" t="s">
        <v>62</v>
      </c>
      <c r="B30" t="s">
        <v>20</v>
      </c>
      <c r="C30" t="s">
        <v>21</v>
      </c>
      <c r="D30" s="1">
        <v>45109</v>
      </c>
      <c r="E30" t="s">
        <v>63</v>
      </c>
      <c r="F30" s="2">
        <v>11</v>
      </c>
      <c r="G30">
        <v>18</v>
      </c>
      <c r="H30">
        <v>7</v>
      </c>
      <c r="I30">
        <v>9</v>
      </c>
      <c r="J30">
        <v>7</v>
      </c>
      <c r="K30" t="s">
        <v>18</v>
      </c>
      <c r="L30">
        <v>16</v>
      </c>
      <c r="M30">
        <v>5</v>
      </c>
      <c r="N30">
        <f>YEAR(Table1[[#This Row],[Violation Date]])</f>
        <v>2023</v>
      </c>
    </row>
    <row r="31" spans="1:14" x14ac:dyDescent="0.3">
      <c r="A31" t="s">
        <v>64</v>
      </c>
      <c r="B31" t="s">
        <v>15</v>
      </c>
      <c r="C31" t="s">
        <v>44</v>
      </c>
      <c r="D31" s="1">
        <v>45188</v>
      </c>
      <c r="E31" t="s">
        <v>31</v>
      </c>
      <c r="F31" s="2">
        <v>15</v>
      </c>
      <c r="G31">
        <v>42</v>
      </c>
      <c r="H31">
        <v>2</v>
      </c>
      <c r="I31">
        <v>9</v>
      </c>
      <c r="J31">
        <v>4</v>
      </c>
      <c r="K31" t="s">
        <v>34</v>
      </c>
      <c r="L31">
        <v>12</v>
      </c>
      <c r="M31">
        <v>5</v>
      </c>
      <c r="N31">
        <f>YEAR(Table1[[#This Row],[Violation Date]])</f>
        <v>2023</v>
      </c>
    </row>
    <row r="32" spans="1:14" x14ac:dyDescent="0.3">
      <c r="A32" t="s">
        <v>65</v>
      </c>
      <c r="B32" t="s">
        <v>29</v>
      </c>
      <c r="C32" t="s">
        <v>26</v>
      </c>
      <c r="D32" s="1">
        <v>45475</v>
      </c>
      <c r="E32" t="s">
        <v>52</v>
      </c>
      <c r="F32" s="2">
        <v>15</v>
      </c>
      <c r="G32">
        <v>16</v>
      </c>
      <c r="H32">
        <v>32</v>
      </c>
      <c r="I32">
        <v>11</v>
      </c>
      <c r="J32">
        <v>5</v>
      </c>
      <c r="K32" t="s">
        <v>18</v>
      </c>
      <c r="L32">
        <v>19</v>
      </c>
      <c r="M32">
        <v>2</v>
      </c>
      <c r="N32">
        <f>YEAR(Table1[[#This Row],[Violation Date]])</f>
        <v>2024</v>
      </c>
    </row>
    <row r="33" spans="1:14" x14ac:dyDescent="0.3">
      <c r="A33" t="s">
        <v>66</v>
      </c>
      <c r="B33" t="s">
        <v>15</v>
      </c>
      <c r="C33" t="s">
        <v>36</v>
      </c>
      <c r="D33" s="1">
        <v>45148</v>
      </c>
      <c r="E33" t="s">
        <v>33</v>
      </c>
      <c r="F33" s="2">
        <v>13</v>
      </c>
      <c r="G33">
        <v>17</v>
      </c>
      <c r="H33">
        <v>6</v>
      </c>
      <c r="I33">
        <v>14</v>
      </c>
      <c r="J33">
        <v>4</v>
      </c>
      <c r="K33" t="s">
        <v>47</v>
      </c>
      <c r="L33">
        <v>18</v>
      </c>
      <c r="M33">
        <v>3</v>
      </c>
      <c r="N33">
        <f>YEAR(Table1[[#This Row],[Violation Date]])</f>
        <v>2023</v>
      </c>
    </row>
    <row r="34" spans="1:14" x14ac:dyDescent="0.3">
      <c r="A34" t="s">
        <v>67</v>
      </c>
      <c r="B34" t="s">
        <v>20</v>
      </c>
      <c r="C34" t="s">
        <v>21</v>
      </c>
      <c r="D34" s="1">
        <v>45456</v>
      </c>
      <c r="E34" t="s">
        <v>17</v>
      </c>
      <c r="F34" s="2">
        <v>11</v>
      </c>
      <c r="G34">
        <v>18</v>
      </c>
      <c r="H34">
        <v>11</v>
      </c>
      <c r="I34">
        <v>6</v>
      </c>
      <c r="J34">
        <v>6</v>
      </c>
      <c r="K34" t="s">
        <v>23</v>
      </c>
      <c r="L34">
        <v>15</v>
      </c>
      <c r="M34">
        <v>1</v>
      </c>
      <c r="N34">
        <f>YEAR(Table1[[#This Row],[Violation Date]])</f>
        <v>2024</v>
      </c>
    </row>
    <row r="35" spans="1:14" x14ac:dyDescent="0.3">
      <c r="A35" t="s">
        <v>68</v>
      </c>
      <c r="B35" t="s">
        <v>25</v>
      </c>
      <c r="C35" t="s">
        <v>30</v>
      </c>
      <c r="D35" s="1">
        <v>45619</v>
      </c>
      <c r="E35" t="s">
        <v>63</v>
      </c>
      <c r="F35" s="2">
        <v>100</v>
      </c>
      <c r="G35">
        <v>50</v>
      </c>
      <c r="H35">
        <v>11</v>
      </c>
      <c r="I35">
        <v>11</v>
      </c>
      <c r="J35">
        <v>3</v>
      </c>
      <c r="K35" t="s">
        <v>34</v>
      </c>
      <c r="L35">
        <v>13</v>
      </c>
      <c r="M35">
        <v>4</v>
      </c>
      <c r="N35">
        <f>YEAR(Table1[[#This Row],[Violation Date]])</f>
        <v>2024</v>
      </c>
    </row>
    <row r="36" spans="1:14" x14ac:dyDescent="0.3">
      <c r="A36" t="s">
        <v>69</v>
      </c>
      <c r="B36" t="s">
        <v>15</v>
      </c>
      <c r="C36" t="s">
        <v>16</v>
      </c>
      <c r="D36" s="1">
        <v>45073</v>
      </c>
      <c r="E36" t="s">
        <v>52</v>
      </c>
      <c r="F36" s="2">
        <v>18</v>
      </c>
      <c r="G36">
        <v>41</v>
      </c>
      <c r="H36">
        <v>11</v>
      </c>
      <c r="I36">
        <v>12</v>
      </c>
      <c r="J36">
        <v>4</v>
      </c>
      <c r="K36" t="s">
        <v>18</v>
      </c>
      <c r="L36">
        <v>12</v>
      </c>
      <c r="M36">
        <v>3</v>
      </c>
      <c r="N36">
        <f>YEAR(Table1[[#This Row],[Violation Date]])</f>
        <v>2023</v>
      </c>
    </row>
    <row r="37" spans="1:14" x14ac:dyDescent="0.3">
      <c r="A37" t="s">
        <v>70</v>
      </c>
      <c r="B37" t="s">
        <v>29</v>
      </c>
      <c r="C37" t="s">
        <v>44</v>
      </c>
      <c r="D37" s="1">
        <v>44978</v>
      </c>
      <c r="E37" t="s">
        <v>31</v>
      </c>
      <c r="F37" s="2">
        <v>14</v>
      </c>
      <c r="G37">
        <v>16</v>
      </c>
      <c r="H37">
        <v>9</v>
      </c>
      <c r="I37">
        <v>8</v>
      </c>
      <c r="J37">
        <v>3</v>
      </c>
      <c r="K37" t="s">
        <v>23</v>
      </c>
      <c r="L37">
        <v>11</v>
      </c>
      <c r="M37">
        <v>4</v>
      </c>
      <c r="N37">
        <f>YEAR(Table1[[#This Row],[Violation Date]])</f>
        <v>2023</v>
      </c>
    </row>
    <row r="38" spans="1:14" x14ac:dyDescent="0.3">
      <c r="A38" t="s">
        <v>71</v>
      </c>
      <c r="B38" t="s">
        <v>15</v>
      </c>
      <c r="C38" t="s">
        <v>26</v>
      </c>
      <c r="D38" s="1">
        <v>45396</v>
      </c>
      <c r="E38" t="s">
        <v>33</v>
      </c>
      <c r="F38" s="2">
        <v>17</v>
      </c>
      <c r="G38">
        <v>15</v>
      </c>
      <c r="H38">
        <v>11</v>
      </c>
      <c r="I38">
        <v>9</v>
      </c>
      <c r="J38">
        <v>5</v>
      </c>
      <c r="K38" t="s">
        <v>34</v>
      </c>
      <c r="L38">
        <v>17</v>
      </c>
      <c r="M38">
        <v>2</v>
      </c>
      <c r="N38">
        <f>YEAR(Table1[[#This Row],[Violation Date]])</f>
        <v>2024</v>
      </c>
    </row>
    <row r="39" spans="1:14" x14ac:dyDescent="0.3">
      <c r="A39" t="s">
        <v>72</v>
      </c>
      <c r="B39" t="s">
        <v>15</v>
      </c>
      <c r="C39" t="s">
        <v>21</v>
      </c>
      <c r="D39" s="1">
        <v>45179</v>
      </c>
      <c r="E39" t="s">
        <v>17</v>
      </c>
      <c r="F39" s="2">
        <v>11</v>
      </c>
      <c r="G39">
        <v>23</v>
      </c>
      <c r="H39">
        <v>11</v>
      </c>
      <c r="I39">
        <v>5</v>
      </c>
      <c r="J39">
        <v>6</v>
      </c>
      <c r="K39" t="s">
        <v>23</v>
      </c>
      <c r="L39">
        <v>14</v>
      </c>
      <c r="M39">
        <v>5</v>
      </c>
      <c r="N39">
        <f>YEAR(Table1[[#This Row],[Violation Date]])</f>
        <v>2023</v>
      </c>
    </row>
    <row r="40" spans="1:14" x14ac:dyDescent="0.3">
      <c r="A40" t="s">
        <v>73</v>
      </c>
      <c r="B40" t="s">
        <v>29</v>
      </c>
      <c r="C40" t="s">
        <v>30</v>
      </c>
      <c r="D40" s="1">
        <v>45089</v>
      </c>
      <c r="E40" t="s">
        <v>31</v>
      </c>
      <c r="F40" s="2">
        <v>10</v>
      </c>
      <c r="G40">
        <v>0</v>
      </c>
      <c r="H40">
        <v>7</v>
      </c>
      <c r="I40">
        <v>7</v>
      </c>
      <c r="J40">
        <v>3</v>
      </c>
      <c r="K40" t="s">
        <v>18</v>
      </c>
      <c r="L40">
        <v>16</v>
      </c>
      <c r="M40">
        <v>1</v>
      </c>
      <c r="N40">
        <f>YEAR(Table1[[#This Row],[Violation Date]])</f>
        <v>2023</v>
      </c>
    </row>
    <row r="41" spans="1:14" x14ac:dyDescent="0.3">
      <c r="A41" t="s">
        <v>74</v>
      </c>
      <c r="B41" t="s">
        <v>25</v>
      </c>
      <c r="C41" t="s">
        <v>36</v>
      </c>
      <c r="D41" s="1">
        <v>45633</v>
      </c>
      <c r="E41" t="s">
        <v>52</v>
      </c>
      <c r="F41" s="2">
        <v>13</v>
      </c>
      <c r="G41">
        <v>14</v>
      </c>
      <c r="H41">
        <v>7</v>
      </c>
      <c r="I41">
        <v>13</v>
      </c>
      <c r="J41">
        <v>4</v>
      </c>
      <c r="K41" t="s">
        <v>47</v>
      </c>
      <c r="L41">
        <v>20</v>
      </c>
      <c r="M41">
        <v>2</v>
      </c>
      <c r="N41">
        <f>YEAR(Table1[[#This Row],[Violation Date]])</f>
        <v>2024</v>
      </c>
    </row>
    <row r="42" spans="1:14" x14ac:dyDescent="0.3">
      <c r="A42" t="s">
        <v>75</v>
      </c>
      <c r="B42" t="s">
        <v>15</v>
      </c>
      <c r="C42" t="s">
        <v>36</v>
      </c>
      <c r="D42" s="1">
        <v>44995</v>
      </c>
      <c r="E42" t="s">
        <v>63</v>
      </c>
      <c r="F42" s="2">
        <v>16</v>
      </c>
      <c r="G42">
        <v>12</v>
      </c>
      <c r="H42">
        <v>7</v>
      </c>
      <c r="I42">
        <v>10</v>
      </c>
      <c r="J42">
        <v>7</v>
      </c>
      <c r="K42" t="s">
        <v>23</v>
      </c>
      <c r="L42">
        <v>18</v>
      </c>
      <c r="M42">
        <v>1</v>
      </c>
      <c r="N42">
        <f>YEAR(Table1[[#This Row],[Violation Date]])</f>
        <v>2023</v>
      </c>
    </row>
    <row r="43" spans="1:14" x14ac:dyDescent="0.3">
      <c r="A43" t="s">
        <v>76</v>
      </c>
      <c r="B43" t="s">
        <v>29</v>
      </c>
      <c r="C43" t="s">
        <v>44</v>
      </c>
      <c r="D43" s="1">
        <v>45426</v>
      </c>
      <c r="E43" t="s">
        <v>33</v>
      </c>
      <c r="F43" s="2">
        <v>19</v>
      </c>
      <c r="G43">
        <v>16</v>
      </c>
      <c r="H43">
        <v>17</v>
      </c>
      <c r="I43">
        <v>12</v>
      </c>
      <c r="J43">
        <v>5</v>
      </c>
      <c r="K43" t="s">
        <v>47</v>
      </c>
      <c r="L43">
        <v>16</v>
      </c>
      <c r="M43">
        <v>4</v>
      </c>
      <c r="N43">
        <f>YEAR(Table1[[#This Row],[Violation Date]])</f>
        <v>2024</v>
      </c>
    </row>
    <row r="44" spans="1:14" x14ac:dyDescent="0.3">
      <c r="A44" t="s">
        <v>77</v>
      </c>
      <c r="B44" t="s">
        <v>25</v>
      </c>
      <c r="C44" t="s">
        <v>21</v>
      </c>
      <c r="D44" s="1">
        <v>45491</v>
      </c>
      <c r="E44" t="s">
        <v>17</v>
      </c>
      <c r="F44" s="2">
        <v>11</v>
      </c>
      <c r="G44">
        <v>23</v>
      </c>
      <c r="H44">
        <v>7</v>
      </c>
      <c r="I44">
        <v>7</v>
      </c>
      <c r="J44">
        <v>8</v>
      </c>
      <c r="K44" t="s">
        <v>18</v>
      </c>
      <c r="L44">
        <v>17</v>
      </c>
      <c r="M44">
        <v>2</v>
      </c>
      <c r="N44">
        <f>YEAR(Table1[[#This Row],[Violation Date]])</f>
        <v>2024</v>
      </c>
    </row>
    <row r="45" spans="1:14" x14ac:dyDescent="0.3">
      <c r="A45" t="s">
        <v>78</v>
      </c>
      <c r="B45" t="s">
        <v>20</v>
      </c>
      <c r="C45" t="s">
        <v>16</v>
      </c>
      <c r="D45" s="1">
        <v>45283</v>
      </c>
      <c r="E45" t="s">
        <v>52</v>
      </c>
      <c r="F45" s="2">
        <v>17</v>
      </c>
      <c r="G45">
        <v>18</v>
      </c>
      <c r="H45">
        <v>7</v>
      </c>
      <c r="I45">
        <v>10</v>
      </c>
      <c r="J45">
        <v>6</v>
      </c>
      <c r="K45" t="s">
        <v>23</v>
      </c>
      <c r="L45">
        <v>19</v>
      </c>
      <c r="M45">
        <v>1</v>
      </c>
      <c r="N45">
        <f>YEAR(Table1[[#This Row],[Violation Date]])</f>
        <v>2023</v>
      </c>
    </row>
    <row r="46" spans="1:14" x14ac:dyDescent="0.3">
      <c r="A46" t="s">
        <v>79</v>
      </c>
      <c r="B46" t="s">
        <v>15</v>
      </c>
      <c r="C46" t="s">
        <v>30</v>
      </c>
      <c r="D46" s="1">
        <v>45167</v>
      </c>
      <c r="E46" t="s">
        <v>63</v>
      </c>
      <c r="F46" s="2">
        <v>25</v>
      </c>
      <c r="G46">
        <v>15</v>
      </c>
      <c r="H46">
        <v>7</v>
      </c>
      <c r="I46">
        <v>13</v>
      </c>
      <c r="J46">
        <v>4</v>
      </c>
      <c r="K46" t="s">
        <v>34</v>
      </c>
      <c r="L46">
        <v>11</v>
      </c>
      <c r="M46">
        <v>2</v>
      </c>
      <c r="N46">
        <f>YEAR(Table1[[#This Row],[Violation Date]])</f>
        <v>2023</v>
      </c>
    </row>
    <row r="47" spans="1:14" x14ac:dyDescent="0.3">
      <c r="A47" t="s">
        <v>80</v>
      </c>
      <c r="B47" t="s">
        <v>15</v>
      </c>
      <c r="C47" t="s">
        <v>26</v>
      </c>
      <c r="D47" s="1">
        <v>45212</v>
      </c>
      <c r="E47" t="s">
        <v>31</v>
      </c>
      <c r="F47" s="2">
        <v>13</v>
      </c>
      <c r="G47">
        <v>23</v>
      </c>
      <c r="H47">
        <v>7</v>
      </c>
      <c r="I47">
        <v>9</v>
      </c>
      <c r="J47">
        <v>5</v>
      </c>
      <c r="K47" t="s">
        <v>18</v>
      </c>
      <c r="L47">
        <v>15</v>
      </c>
      <c r="M47">
        <v>5</v>
      </c>
      <c r="N47">
        <f>YEAR(Table1[[#This Row],[Violation Date]])</f>
        <v>2023</v>
      </c>
    </row>
    <row r="48" spans="1:14" x14ac:dyDescent="0.3">
      <c r="A48" t="s">
        <v>81</v>
      </c>
      <c r="B48" t="s">
        <v>29</v>
      </c>
      <c r="C48" t="s">
        <v>36</v>
      </c>
      <c r="D48" s="1">
        <v>45608</v>
      </c>
      <c r="E48" t="s">
        <v>33</v>
      </c>
      <c r="F48" s="2">
        <v>12</v>
      </c>
      <c r="G48">
        <v>16</v>
      </c>
      <c r="H48">
        <v>9</v>
      </c>
      <c r="I48">
        <v>6</v>
      </c>
      <c r="J48">
        <v>2</v>
      </c>
      <c r="K48" t="s">
        <v>18</v>
      </c>
      <c r="L48">
        <v>14</v>
      </c>
      <c r="M48">
        <v>3</v>
      </c>
      <c r="N48">
        <f>YEAR(Table1[[#This Row],[Violation Date]])</f>
        <v>2024</v>
      </c>
    </row>
    <row r="49" spans="1:14" x14ac:dyDescent="0.3">
      <c r="A49" t="s">
        <v>82</v>
      </c>
      <c r="B49" t="s">
        <v>25</v>
      </c>
      <c r="C49" t="s">
        <v>21</v>
      </c>
      <c r="D49" s="1">
        <v>44946</v>
      </c>
      <c r="E49" t="s">
        <v>52</v>
      </c>
      <c r="F49" s="2">
        <v>19</v>
      </c>
      <c r="G49">
        <v>23</v>
      </c>
      <c r="H49">
        <v>7</v>
      </c>
      <c r="I49">
        <v>11</v>
      </c>
      <c r="J49">
        <v>6</v>
      </c>
      <c r="K49" t="s">
        <v>34</v>
      </c>
      <c r="L49">
        <v>13</v>
      </c>
      <c r="M49">
        <v>5</v>
      </c>
      <c r="N49">
        <f>YEAR(Table1[[#This Row],[Violation Date]])</f>
        <v>2023</v>
      </c>
    </row>
    <row r="50" spans="1:14" x14ac:dyDescent="0.3">
      <c r="A50" t="s">
        <v>83</v>
      </c>
      <c r="B50" t="s">
        <v>15</v>
      </c>
      <c r="C50" t="s">
        <v>44</v>
      </c>
      <c r="D50" s="1">
        <v>45393</v>
      </c>
      <c r="E50" t="s">
        <v>17</v>
      </c>
      <c r="F50" s="2">
        <v>16</v>
      </c>
      <c r="G50">
        <v>40</v>
      </c>
      <c r="H50">
        <v>7</v>
      </c>
      <c r="I50">
        <v>12</v>
      </c>
      <c r="J50">
        <v>4</v>
      </c>
      <c r="K50" t="s">
        <v>18</v>
      </c>
      <c r="L50">
        <v>12</v>
      </c>
      <c r="M50">
        <v>4</v>
      </c>
      <c r="N50">
        <f>YEAR(Table1[[#This Row],[Violation Date]])</f>
        <v>2024</v>
      </c>
    </row>
    <row r="51" spans="1:14" x14ac:dyDescent="0.3">
      <c r="A51" t="s">
        <v>84</v>
      </c>
      <c r="B51" t="s">
        <v>25</v>
      </c>
      <c r="C51" t="s">
        <v>26</v>
      </c>
      <c r="D51" s="1">
        <v>45129</v>
      </c>
      <c r="E51" t="s">
        <v>63</v>
      </c>
      <c r="F51" s="2">
        <v>17</v>
      </c>
      <c r="G51">
        <v>23</v>
      </c>
      <c r="H51">
        <v>7</v>
      </c>
      <c r="I51">
        <v>15</v>
      </c>
      <c r="J51">
        <v>5</v>
      </c>
      <c r="K51" t="s">
        <v>47</v>
      </c>
      <c r="L51">
        <v>19</v>
      </c>
      <c r="M51">
        <v>3</v>
      </c>
      <c r="N51">
        <f>YEAR(Table1[[#This Row],[Violation Date]])</f>
        <v>2023</v>
      </c>
    </row>
    <row r="52" spans="1:14" x14ac:dyDescent="0.3">
      <c r="A52" t="s">
        <v>85</v>
      </c>
      <c r="B52" t="s">
        <v>15</v>
      </c>
      <c r="C52" t="s">
        <v>30</v>
      </c>
      <c r="D52" s="1">
        <v>45003</v>
      </c>
      <c r="E52" t="s">
        <v>31</v>
      </c>
      <c r="F52" s="2">
        <v>50</v>
      </c>
      <c r="G52">
        <v>25</v>
      </c>
      <c r="H52">
        <v>7</v>
      </c>
      <c r="I52">
        <v>11</v>
      </c>
      <c r="J52">
        <v>5</v>
      </c>
      <c r="K52" t="s">
        <v>23</v>
      </c>
      <c r="L52">
        <v>18</v>
      </c>
      <c r="M52">
        <v>4</v>
      </c>
      <c r="N52">
        <f>YEAR(Table1[[#This Row],[Violation Date]])</f>
        <v>2023</v>
      </c>
    </row>
    <row r="53" spans="1:14" x14ac:dyDescent="0.3">
      <c r="A53" t="s">
        <v>86</v>
      </c>
      <c r="B53" t="s">
        <v>25</v>
      </c>
      <c r="C53" t="s">
        <v>16</v>
      </c>
      <c r="D53" s="1">
        <v>45348</v>
      </c>
      <c r="E53" t="s">
        <v>33</v>
      </c>
      <c r="F53" s="2">
        <v>19</v>
      </c>
      <c r="G53">
        <v>23</v>
      </c>
      <c r="H53">
        <v>8</v>
      </c>
      <c r="I53">
        <v>15</v>
      </c>
      <c r="J53">
        <v>6</v>
      </c>
      <c r="K53" t="s">
        <v>34</v>
      </c>
      <c r="L53">
        <v>16</v>
      </c>
      <c r="M53">
        <v>1</v>
      </c>
      <c r="N53">
        <f>YEAR(Table1[[#This Row],[Violation Date]])</f>
        <v>2024</v>
      </c>
    </row>
    <row r="54" spans="1:14" x14ac:dyDescent="0.3">
      <c r="A54" t="s">
        <v>87</v>
      </c>
      <c r="B54" t="s">
        <v>29</v>
      </c>
      <c r="C54" t="s">
        <v>36</v>
      </c>
      <c r="D54" s="1">
        <v>45643</v>
      </c>
      <c r="E54" t="s">
        <v>17</v>
      </c>
      <c r="F54" s="2">
        <v>14</v>
      </c>
      <c r="G54">
        <v>15</v>
      </c>
      <c r="H54">
        <v>7</v>
      </c>
      <c r="I54">
        <v>7</v>
      </c>
      <c r="J54">
        <v>5</v>
      </c>
      <c r="K54" t="s">
        <v>47</v>
      </c>
      <c r="L54">
        <v>15</v>
      </c>
      <c r="M54">
        <v>3</v>
      </c>
      <c r="N54">
        <f>YEAR(Table1[[#This Row],[Violation Date]])</f>
        <v>2024</v>
      </c>
    </row>
    <row r="55" spans="1:14" x14ac:dyDescent="0.3">
      <c r="A55" t="s">
        <v>88</v>
      </c>
      <c r="B55" t="s">
        <v>15</v>
      </c>
      <c r="C55" t="s">
        <v>44</v>
      </c>
      <c r="D55" s="1">
        <v>45056</v>
      </c>
      <c r="E55" t="s">
        <v>52</v>
      </c>
      <c r="F55" s="2">
        <v>11</v>
      </c>
      <c r="G55">
        <v>23</v>
      </c>
      <c r="H55">
        <v>7</v>
      </c>
      <c r="I55">
        <v>6</v>
      </c>
      <c r="J55">
        <v>3</v>
      </c>
      <c r="K55" t="s">
        <v>18</v>
      </c>
      <c r="L55">
        <v>17</v>
      </c>
      <c r="M55">
        <v>2</v>
      </c>
      <c r="N55">
        <f>YEAR(Table1[[#This Row],[Violation Date]])</f>
        <v>2023</v>
      </c>
    </row>
    <row r="56" spans="1:14" x14ac:dyDescent="0.3">
      <c r="A56" t="s">
        <v>89</v>
      </c>
      <c r="B56" t="s">
        <v>15</v>
      </c>
      <c r="C56" t="s">
        <v>26</v>
      </c>
      <c r="D56" s="1">
        <v>45559</v>
      </c>
      <c r="E56" t="s">
        <v>63</v>
      </c>
      <c r="F56" s="2">
        <v>16</v>
      </c>
      <c r="G56">
        <v>36</v>
      </c>
      <c r="H56">
        <v>7</v>
      </c>
      <c r="I56">
        <v>9</v>
      </c>
      <c r="J56">
        <v>7</v>
      </c>
      <c r="K56" t="s">
        <v>23</v>
      </c>
      <c r="L56">
        <v>13</v>
      </c>
      <c r="M56">
        <v>5</v>
      </c>
      <c r="N56">
        <f>YEAR(Table1[[#This Row],[Violation Date]])</f>
        <v>2024</v>
      </c>
    </row>
    <row r="57" spans="1:14" x14ac:dyDescent="0.3">
      <c r="A57" t="s">
        <v>90</v>
      </c>
      <c r="B57" t="s">
        <v>20</v>
      </c>
      <c r="C57" t="s">
        <v>21</v>
      </c>
      <c r="D57" s="1">
        <v>44971</v>
      </c>
      <c r="E57" t="s">
        <v>31</v>
      </c>
      <c r="F57" s="2">
        <v>13</v>
      </c>
      <c r="G57">
        <v>18</v>
      </c>
      <c r="H57">
        <v>7</v>
      </c>
      <c r="I57">
        <v>8</v>
      </c>
      <c r="J57">
        <v>6</v>
      </c>
      <c r="K57" t="s">
        <v>34</v>
      </c>
      <c r="L57">
        <v>19</v>
      </c>
      <c r="M57">
        <v>4</v>
      </c>
      <c r="N57">
        <f>YEAR(Table1[[#This Row],[Violation Date]])</f>
        <v>2023</v>
      </c>
    </row>
    <row r="58" spans="1:14" x14ac:dyDescent="0.3">
      <c r="A58" t="s">
        <v>91</v>
      </c>
      <c r="B58" t="s">
        <v>29</v>
      </c>
      <c r="C58" t="s">
        <v>30</v>
      </c>
      <c r="D58" s="1">
        <v>45654</v>
      </c>
      <c r="E58" t="s">
        <v>33</v>
      </c>
      <c r="F58" s="2">
        <v>75</v>
      </c>
      <c r="G58">
        <v>40</v>
      </c>
      <c r="H58">
        <v>7</v>
      </c>
      <c r="I58">
        <v>10</v>
      </c>
      <c r="J58">
        <v>5</v>
      </c>
      <c r="K58" t="s">
        <v>47</v>
      </c>
      <c r="L58">
        <v>14</v>
      </c>
      <c r="M58">
        <v>3</v>
      </c>
      <c r="N58">
        <f>YEAR(Table1[[#This Row],[Violation Date]])</f>
        <v>2024</v>
      </c>
    </row>
    <row r="59" spans="1:14" x14ac:dyDescent="0.3">
      <c r="A59" t="s">
        <v>92</v>
      </c>
      <c r="B59" t="s">
        <v>25</v>
      </c>
      <c r="C59" t="s">
        <v>36</v>
      </c>
      <c r="D59" s="1">
        <v>45455</v>
      </c>
      <c r="E59" t="s">
        <v>63</v>
      </c>
      <c r="F59" s="2">
        <v>15</v>
      </c>
      <c r="G59">
        <v>23</v>
      </c>
      <c r="H59">
        <v>2</v>
      </c>
      <c r="I59">
        <v>12</v>
      </c>
      <c r="J59">
        <v>8</v>
      </c>
      <c r="K59" t="s">
        <v>18</v>
      </c>
      <c r="L59">
        <v>12</v>
      </c>
      <c r="M59">
        <v>5</v>
      </c>
      <c r="N59">
        <f>YEAR(Table1[[#This Row],[Violation Date]])</f>
        <v>2024</v>
      </c>
    </row>
    <row r="60" spans="1:14" x14ac:dyDescent="0.3">
      <c r="A60" t="s">
        <v>93</v>
      </c>
      <c r="B60" t="s">
        <v>15</v>
      </c>
      <c r="C60" t="s">
        <v>44</v>
      </c>
      <c r="D60" s="1">
        <v>45117</v>
      </c>
      <c r="E60" t="s">
        <v>17</v>
      </c>
      <c r="F60" s="2">
        <v>18</v>
      </c>
      <c r="G60">
        <v>41</v>
      </c>
      <c r="H60">
        <v>2</v>
      </c>
      <c r="I60">
        <v>13</v>
      </c>
      <c r="J60">
        <v>4</v>
      </c>
      <c r="K60" t="s">
        <v>47</v>
      </c>
      <c r="L60">
        <v>16</v>
      </c>
      <c r="M60">
        <v>2</v>
      </c>
      <c r="N60">
        <f>YEAR(Table1[[#This Row],[Violation Date]])</f>
        <v>2023</v>
      </c>
    </row>
    <row r="61" spans="1:14" x14ac:dyDescent="0.3">
      <c r="A61" t="s">
        <v>94</v>
      </c>
      <c r="B61" t="s">
        <v>15</v>
      </c>
      <c r="C61" t="s">
        <v>26</v>
      </c>
      <c r="D61" s="1">
        <v>45252</v>
      </c>
      <c r="E61" t="s">
        <v>52</v>
      </c>
      <c r="F61" s="2">
        <v>19</v>
      </c>
      <c r="G61">
        <v>23</v>
      </c>
      <c r="H61">
        <v>4</v>
      </c>
      <c r="I61">
        <v>14</v>
      </c>
      <c r="J61">
        <v>5</v>
      </c>
      <c r="K61" t="s">
        <v>34</v>
      </c>
      <c r="L61">
        <v>17</v>
      </c>
      <c r="M61">
        <v>3</v>
      </c>
      <c r="N61">
        <f>YEAR(Table1[[#This Row],[Violation Date]])</f>
        <v>2023</v>
      </c>
    </row>
    <row r="62" spans="1:14" x14ac:dyDescent="0.3">
      <c r="A62" t="s">
        <v>95</v>
      </c>
      <c r="B62" t="s">
        <v>29</v>
      </c>
      <c r="C62" t="s">
        <v>21</v>
      </c>
      <c r="D62" s="1">
        <v>44950</v>
      </c>
      <c r="E62" t="s">
        <v>31</v>
      </c>
      <c r="F62" s="2">
        <v>18</v>
      </c>
      <c r="G62">
        <v>20</v>
      </c>
      <c r="H62">
        <v>2</v>
      </c>
      <c r="I62">
        <v>9</v>
      </c>
      <c r="J62">
        <v>4</v>
      </c>
      <c r="K62" t="s">
        <v>18</v>
      </c>
      <c r="L62">
        <v>14</v>
      </c>
      <c r="M62">
        <v>2</v>
      </c>
      <c r="N62">
        <f>YEAR(Table1[[#This Row],[Violation Date]])</f>
        <v>2023</v>
      </c>
    </row>
    <row r="63" spans="1:14" x14ac:dyDescent="0.3">
      <c r="A63" t="s">
        <v>96</v>
      </c>
      <c r="B63" t="s">
        <v>15</v>
      </c>
      <c r="C63" t="s">
        <v>16</v>
      </c>
      <c r="D63" s="1">
        <v>45025</v>
      </c>
      <c r="E63" t="s">
        <v>52</v>
      </c>
      <c r="F63" s="2">
        <v>12</v>
      </c>
      <c r="G63">
        <v>46</v>
      </c>
      <c r="H63">
        <v>1</v>
      </c>
      <c r="I63">
        <v>15</v>
      </c>
      <c r="J63">
        <v>6</v>
      </c>
      <c r="K63" t="s">
        <v>23</v>
      </c>
      <c r="L63">
        <v>16</v>
      </c>
      <c r="M63">
        <v>4</v>
      </c>
      <c r="N63">
        <f>YEAR(Table1[[#This Row],[Violation Date]])</f>
        <v>2023</v>
      </c>
    </row>
    <row r="64" spans="1:14" x14ac:dyDescent="0.3">
      <c r="A64" t="s">
        <v>97</v>
      </c>
      <c r="B64" t="s">
        <v>25</v>
      </c>
      <c r="C64" t="s">
        <v>36</v>
      </c>
      <c r="D64" s="1">
        <v>45252</v>
      </c>
      <c r="E64" t="s">
        <v>17</v>
      </c>
      <c r="F64" s="2">
        <v>16</v>
      </c>
      <c r="G64">
        <v>13</v>
      </c>
      <c r="H64">
        <v>2</v>
      </c>
      <c r="I64">
        <v>10</v>
      </c>
      <c r="J64">
        <v>8</v>
      </c>
      <c r="K64" t="s">
        <v>34</v>
      </c>
      <c r="L64">
        <v>19</v>
      </c>
      <c r="M64">
        <v>1</v>
      </c>
      <c r="N64">
        <f>YEAR(Table1[[#This Row],[Violation Date]])</f>
        <v>2023</v>
      </c>
    </row>
    <row r="65" spans="1:14" x14ac:dyDescent="0.3">
      <c r="A65" t="s">
        <v>98</v>
      </c>
      <c r="B65" t="s">
        <v>15</v>
      </c>
      <c r="C65" t="s">
        <v>44</v>
      </c>
      <c r="D65" s="1">
        <v>45222</v>
      </c>
      <c r="E65" t="s">
        <v>63</v>
      </c>
      <c r="F65" s="2">
        <v>11</v>
      </c>
      <c r="G65">
        <v>23</v>
      </c>
      <c r="H65">
        <v>2</v>
      </c>
      <c r="I65">
        <v>7</v>
      </c>
      <c r="J65">
        <v>5</v>
      </c>
      <c r="K65" t="s">
        <v>47</v>
      </c>
      <c r="L65">
        <v>11</v>
      </c>
      <c r="M65">
        <v>3</v>
      </c>
      <c r="N65">
        <f>YEAR(Table1[[#This Row],[Violation Date]])</f>
        <v>2023</v>
      </c>
    </row>
    <row r="66" spans="1:14" x14ac:dyDescent="0.3">
      <c r="A66" t="s">
        <v>99</v>
      </c>
      <c r="B66" t="s">
        <v>20</v>
      </c>
      <c r="C66" t="s">
        <v>30</v>
      </c>
      <c r="D66" s="1">
        <v>44982</v>
      </c>
      <c r="E66" t="s">
        <v>31</v>
      </c>
      <c r="F66" s="2">
        <v>100</v>
      </c>
      <c r="G66">
        <v>50</v>
      </c>
      <c r="H66">
        <v>3</v>
      </c>
      <c r="I66">
        <v>9</v>
      </c>
      <c r="J66">
        <v>3</v>
      </c>
      <c r="K66" t="s">
        <v>18</v>
      </c>
      <c r="L66">
        <v>15</v>
      </c>
      <c r="M66">
        <v>2</v>
      </c>
      <c r="N66">
        <f>YEAR(Table1[[#This Row],[Violation Date]])</f>
        <v>2023</v>
      </c>
    </row>
    <row r="67" spans="1:14" x14ac:dyDescent="0.3">
      <c r="A67" t="s">
        <v>100</v>
      </c>
      <c r="B67" t="s">
        <v>15</v>
      </c>
      <c r="C67" t="s">
        <v>26</v>
      </c>
      <c r="D67" s="1">
        <v>45481</v>
      </c>
      <c r="E67" t="s">
        <v>22</v>
      </c>
      <c r="F67" s="2">
        <v>19</v>
      </c>
      <c r="G67">
        <v>15</v>
      </c>
      <c r="H67">
        <v>2</v>
      </c>
      <c r="I67">
        <v>12</v>
      </c>
      <c r="J67">
        <v>7</v>
      </c>
      <c r="K67" t="s">
        <v>23</v>
      </c>
      <c r="L67">
        <v>17</v>
      </c>
      <c r="M67">
        <v>5</v>
      </c>
      <c r="N67">
        <f>YEAR(Table1[[#This Row],[Violation Date]])</f>
        <v>2024</v>
      </c>
    </row>
    <row r="68" spans="1:14" x14ac:dyDescent="0.3">
      <c r="A68" t="s">
        <v>101</v>
      </c>
      <c r="B68" t="s">
        <v>29</v>
      </c>
      <c r="C68" t="s">
        <v>21</v>
      </c>
      <c r="D68" s="1">
        <v>45056</v>
      </c>
      <c r="E68" t="s">
        <v>52</v>
      </c>
      <c r="F68" s="2">
        <v>14</v>
      </c>
      <c r="G68">
        <v>20</v>
      </c>
      <c r="H68">
        <v>2</v>
      </c>
      <c r="I68">
        <v>11</v>
      </c>
      <c r="J68">
        <v>6</v>
      </c>
      <c r="K68" t="s">
        <v>47</v>
      </c>
      <c r="L68">
        <v>12</v>
      </c>
      <c r="M68">
        <v>1</v>
      </c>
      <c r="N68">
        <f>YEAR(Table1[[#This Row],[Violation Date]])</f>
        <v>2023</v>
      </c>
    </row>
    <row r="69" spans="1:14" x14ac:dyDescent="0.3">
      <c r="A69" t="s">
        <v>102</v>
      </c>
      <c r="B69" t="s">
        <v>15</v>
      </c>
      <c r="C69" t="s">
        <v>16</v>
      </c>
      <c r="D69" s="1">
        <v>45178</v>
      </c>
      <c r="E69" t="s">
        <v>17</v>
      </c>
      <c r="F69" s="2">
        <v>18</v>
      </c>
      <c r="G69">
        <v>23</v>
      </c>
      <c r="H69">
        <v>2</v>
      </c>
      <c r="I69">
        <v>8</v>
      </c>
      <c r="J69">
        <v>7</v>
      </c>
      <c r="K69" t="s">
        <v>34</v>
      </c>
      <c r="L69">
        <v>13</v>
      </c>
      <c r="M69">
        <v>4</v>
      </c>
      <c r="N69">
        <f>YEAR(Table1[[#This Row],[Violation Date]])</f>
        <v>2023</v>
      </c>
    </row>
    <row r="70" spans="1:14" x14ac:dyDescent="0.3">
      <c r="A70" t="s">
        <v>103</v>
      </c>
      <c r="B70" t="s">
        <v>20</v>
      </c>
      <c r="C70" t="s">
        <v>36</v>
      </c>
      <c r="D70" s="1">
        <v>45363</v>
      </c>
      <c r="E70" t="s">
        <v>22</v>
      </c>
      <c r="F70" s="2">
        <v>15</v>
      </c>
      <c r="G70">
        <v>18</v>
      </c>
      <c r="H70">
        <v>2</v>
      </c>
      <c r="I70">
        <v>10</v>
      </c>
      <c r="J70">
        <v>5</v>
      </c>
      <c r="K70" t="s">
        <v>18</v>
      </c>
      <c r="L70">
        <v>18</v>
      </c>
      <c r="M70">
        <v>3</v>
      </c>
      <c r="N70">
        <f>YEAR(Table1[[#This Row],[Violation Date]])</f>
        <v>2024</v>
      </c>
    </row>
    <row r="71" spans="1:14" x14ac:dyDescent="0.3">
      <c r="A71" t="s">
        <v>104</v>
      </c>
      <c r="B71" t="s">
        <v>15</v>
      </c>
      <c r="C71" t="s">
        <v>26</v>
      </c>
      <c r="D71" s="1">
        <v>45263</v>
      </c>
      <c r="E71" t="s">
        <v>63</v>
      </c>
      <c r="F71" s="2">
        <v>17</v>
      </c>
      <c r="G71">
        <v>44</v>
      </c>
      <c r="H71">
        <v>2</v>
      </c>
      <c r="I71">
        <v>13</v>
      </c>
      <c r="J71">
        <v>5</v>
      </c>
      <c r="K71" t="s">
        <v>47</v>
      </c>
      <c r="L71">
        <v>20</v>
      </c>
      <c r="M71">
        <v>2</v>
      </c>
      <c r="N71">
        <f>YEAR(Table1[[#This Row],[Violation Date]])</f>
        <v>2023</v>
      </c>
    </row>
    <row r="72" spans="1:14" x14ac:dyDescent="0.3">
      <c r="A72" t="s">
        <v>105</v>
      </c>
      <c r="B72" t="s">
        <v>25</v>
      </c>
      <c r="C72" t="s">
        <v>30</v>
      </c>
      <c r="D72" s="1">
        <v>45370</v>
      </c>
      <c r="E72" t="s">
        <v>31</v>
      </c>
      <c r="F72" s="2">
        <v>10</v>
      </c>
      <c r="G72">
        <v>0</v>
      </c>
      <c r="H72">
        <v>2</v>
      </c>
      <c r="I72">
        <v>8</v>
      </c>
      <c r="J72">
        <v>6</v>
      </c>
      <c r="K72" t="s">
        <v>23</v>
      </c>
      <c r="L72">
        <v>12</v>
      </c>
      <c r="M72">
        <v>2</v>
      </c>
      <c r="N72">
        <f>YEAR(Table1[[#This Row],[Violation Date]])</f>
        <v>2024</v>
      </c>
    </row>
    <row r="73" spans="1:14" x14ac:dyDescent="0.3">
      <c r="A73" t="s">
        <v>106</v>
      </c>
      <c r="B73" t="s">
        <v>15</v>
      </c>
      <c r="C73" t="s">
        <v>26</v>
      </c>
      <c r="D73" s="1">
        <v>45118</v>
      </c>
      <c r="E73" t="s">
        <v>52</v>
      </c>
      <c r="F73" s="2">
        <v>15</v>
      </c>
      <c r="G73">
        <v>38</v>
      </c>
      <c r="H73">
        <v>5</v>
      </c>
      <c r="I73">
        <v>10</v>
      </c>
      <c r="J73">
        <v>4</v>
      </c>
      <c r="K73" t="s">
        <v>34</v>
      </c>
      <c r="L73">
        <v>18</v>
      </c>
      <c r="M73">
        <v>3</v>
      </c>
      <c r="N73">
        <f>YEAR(Table1[[#This Row],[Violation Date]])</f>
        <v>2023</v>
      </c>
    </row>
    <row r="74" spans="1:14" x14ac:dyDescent="0.3">
      <c r="A74" t="s">
        <v>107</v>
      </c>
      <c r="B74" t="s">
        <v>29</v>
      </c>
      <c r="C74" t="s">
        <v>36</v>
      </c>
      <c r="D74" s="1">
        <v>45617</v>
      </c>
      <c r="E74" t="s">
        <v>31</v>
      </c>
      <c r="F74" s="2">
        <v>18</v>
      </c>
      <c r="G74">
        <v>20</v>
      </c>
      <c r="H74">
        <v>2</v>
      </c>
      <c r="I74">
        <v>13</v>
      </c>
      <c r="J74">
        <v>5</v>
      </c>
      <c r="K74" t="s">
        <v>47</v>
      </c>
      <c r="L74">
        <v>17</v>
      </c>
      <c r="M74">
        <v>1</v>
      </c>
      <c r="N74">
        <f>YEAR(Table1[[#This Row],[Violation Date]])</f>
        <v>2024</v>
      </c>
    </row>
    <row r="75" spans="1:14" x14ac:dyDescent="0.3">
      <c r="A75" t="s">
        <v>108</v>
      </c>
      <c r="B75" t="s">
        <v>20</v>
      </c>
      <c r="C75" t="s">
        <v>44</v>
      </c>
      <c r="D75" s="1">
        <v>45282</v>
      </c>
      <c r="E75" t="s">
        <v>52</v>
      </c>
      <c r="F75" s="2">
        <v>19</v>
      </c>
      <c r="G75">
        <v>18</v>
      </c>
      <c r="H75">
        <v>1</v>
      </c>
      <c r="I75">
        <v>12</v>
      </c>
      <c r="J75">
        <v>6</v>
      </c>
      <c r="K75" t="s">
        <v>18</v>
      </c>
      <c r="L75">
        <v>15</v>
      </c>
      <c r="M75">
        <v>4</v>
      </c>
      <c r="N75">
        <f>YEAR(Table1[[#This Row],[Violation Date]])</f>
        <v>2023</v>
      </c>
    </row>
    <row r="76" spans="1:14" x14ac:dyDescent="0.3">
      <c r="A76" t="s">
        <v>109</v>
      </c>
      <c r="B76" t="s">
        <v>25</v>
      </c>
      <c r="C76" t="s">
        <v>16</v>
      </c>
      <c r="D76" s="1">
        <v>44942</v>
      </c>
      <c r="E76" t="s">
        <v>17</v>
      </c>
      <c r="F76" s="2">
        <v>12</v>
      </c>
      <c r="G76">
        <v>23</v>
      </c>
      <c r="H76">
        <v>2</v>
      </c>
      <c r="I76">
        <v>15</v>
      </c>
      <c r="J76">
        <v>4</v>
      </c>
      <c r="K76" t="s">
        <v>18</v>
      </c>
      <c r="L76">
        <v>14</v>
      </c>
      <c r="M76">
        <v>2</v>
      </c>
      <c r="N76">
        <f>YEAR(Table1[[#This Row],[Violation Date]])</f>
        <v>2023</v>
      </c>
    </row>
    <row r="77" spans="1:14" x14ac:dyDescent="0.3">
      <c r="A77" t="s">
        <v>110</v>
      </c>
      <c r="B77" t="s">
        <v>15</v>
      </c>
      <c r="C77" t="s">
        <v>21</v>
      </c>
      <c r="D77" s="1">
        <v>45487</v>
      </c>
      <c r="E77" t="s">
        <v>63</v>
      </c>
      <c r="F77" s="2">
        <v>16</v>
      </c>
      <c r="G77">
        <v>14</v>
      </c>
      <c r="H77">
        <v>2</v>
      </c>
      <c r="I77">
        <v>11</v>
      </c>
      <c r="J77">
        <v>8</v>
      </c>
      <c r="K77" t="s">
        <v>23</v>
      </c>
      <c r="L77">
        <v>19</v>
      </c>
      <c r="M77">
        <v>3</v>
      </c>
      <c r="N77">
        <f>YEAR(Table1[[#This Row],[Violation Date]])</f>
        <v>2024</v>
      </c>
    </row>
    <row r="78" spans="1:14" x14ac:dyDescent="0.3">
      <c r="A78" t="s">
        <v>111</v>
      </c>
      <c r="B78" t="s">
        <v>15</v>
      </c>
      <c r="C78" t="s">
        <v>30</v>
      </c>
      <c r="D78" s="1">
        <v>45253</v>
      </c>
      <c r="E78" t="s">
        <v>22</v>
      </c>
      <c r="F78" s="2">
        <v>25</v>
      </c>
      <c r="G78">
        <v>7.5</v>
      </c>
      <c r="H78">
        <v>2</v>
      </c>
      <c r="I78">
        <v>14</v>
      </c>
      <c r="J78">
        <v>7</v>
      </c>
      <c r="K78" t="s">
        <v>47</v>
      </c>
      <c r="L78">
        <v>16</v>
      </c>
      <c r="M78">
        <v>5</v>
      </c>
      <c r="N78">
        <f>YEAR(Table1[[#This Row],[Violation Date]])</f>
        <v>2023</v>
      </c>
    </row>
    <row r="79" spans="1:14" x14ac:dyDescent="0.3">
      <c r="A79" t="s">
        <v>112</v>
      </c>
      <c r="B79" t="s">
        <v>29</v>
      </c>
      <c r="C79" t="s">
        <v>36</v>
      </c>
      <c r="D79" s="1">
        <v>45094</v>
      </c>
      <c r="E79" t="s">
        <v>52</v>
      </c>
      <c r="F79" s="2">
        <v>17</v>
      </c>
      <c r="G79">
        <v>10</v>
      </c>
      <c r="H79">
        <v>3</v>
      </c>
      <c r="I79">
        <v>8</v>
      </c>
      <c r="J79">
        <v>5</v>
      </c>
      <c r="K79" t="s">
        <v>34</v>
      </c>
      <c r="L79">
        <v>13</v>
      </c>
      <c r="M79">
        <v>2</v>
      </c>
      <c r="N79">
        <f>YEAR(Table1[[#This Row],[Violation Date]])</f>
        <v>2023</v>
      </c>
    </row>
    <row r="80" spans="1:14" x14ac:dyDescent="0.3">
      <c r="A80" t="s">
        <v>113</v>
      </c>
      <c r="B80" t="s">
        <v>20</v>
      </c>
      <c r="C80" t="s">
        <v>26</v>
      </c>
      <c r="D80" s="1">
        <v>45587</v>
      </c>
      <c r="E80" t="s">
        <v>17</v>
      </c>
      <c r="F80" s="2">
        <v>19</v>
      </c>
      <c r="G80">
        <v>18</v>
      </c>
      <c r="H80">
        <v>2</v>
      </c>
      <c r="I80">
        <v>12</v>
      </c>
      <c r="J80">
        <v>9</v>
      </c>
      <c r="K80" t="s">
        <v>18</v>
      </c>
      <c r="L80">
        <v>20</v>
      </c>
      <c r="M80">
        <v>1</v>
      </c>
      <c r="N80">
        <f>YEAR(Table1[[#This Row],[Violation Date]])</f>
        <v>2024</v>
      </c>
    </row>
    <row r="81" spans="1:14" x14ac:dyDescent="0.3">
      <c r="A81" t="s">
        <v>114</v>
      </c>
      <c r="B81" t="s">
        <v>15</v>
      </c>
      <c r="C81" t="s">
        <v>44</v>
      </c>
      <c r="D81" s="1">
        <v>45071</v>
      </c>
      <c r="E81" t="s">
        <v>27</v>
      </c>
      <c r="F81" s="2">
        <v>18</v>
      </c>
      <c r="G81">
        <v>46</v>
      </c>
      <c r="H81">
        <v>2</v>
      </c>
      <c r="I81">
        <v>11</v>
      </c>
      <c r="J81">
        <v>6</v>
      </c>
      <c r="K81" t="s">
        <v>47</v>
      </c>
      <c r="L81">
        <v>17</v>
      </c>
      <c r="M81">
        <v>4</v>
      </c>
      <c r="N81">
        <f>YEAR(Table1[[#This Row],[Violation Date]])</f>
        <v>2023</v>
      </c>
    </row>
    <row r="82" spans="1:14" x14ac:dyDescent="0.3">
      <c r="A82" t="s">
        <v>115</v>
      </c>
      <c r="B82" t="s">
        <v>25</v>
      </c>
      <c r="C82" t="s">
        <v>30</v>
      </c>
      <c r="D82" s="1">
        <v>45004</v>
      </c>
      <c r="E82" t="s">
        <v>31</v>
      </c>
      <c r="F82" s="2">
        <v>50</v>
      </c>
      <c r="G82">
        <v>25</v>
      </c>
      <c r="H82">
        <v>3</v>
      </c>
      <c r="I82">
        <v>8</v>
      </c>
      <c r="J82">
        <v>6</v>
      </c>
      <c r="K82" t="s">
        <v>23</v>
      </c>
      <c r="L82">
        <v>12</v>
      </c>
      <c r="M82">
        <v>2</v>
      </c>
      <c r="N82">
        <f>YEAR(Table1[[#This Row],[Violation Date]])</f>
        <v>2023</v>
      </c>
    </row>
    <row r="83" spans="1:14" x14ac:dyDescent="0.3">
      <c r="A83" t="s">
        <v>116</v>
      </c>
      <c r="B83" t="s">
        <v>15</v>
      </c>
      <c r="C83" t="s">
        <v>26</v>
      </c>
      <c r="D83" s="1">
        <v>45118</v>
      </c>
      <c r="E83" t="s">
        <v>22</v>
      </c>
      <c r="F83" s="2">
        <v>15</v>
      </c>
      <c r="G83">
        <v>38</v>
      </c>
      <c r="H83">
        <v>2</v>
      </c>
      <c r="I83">
        <v>10</v>
      </c>
      <c r="J83">
        <v>4</v>
      </c>
      <c r="K83" t="s">
        <v>34</v>
      </c>
      <c r="L83">
        <v>18</v>
      </c>
      <c r="M83">
        <v>3</v>
      </c>
      <c r="N83">
        <f>YEAR(Table1[[#This Row],[Violation Date]])</f>
        <v>2023</v>
      </c>
    </row>
    <row r="84" spans="1:14" x14ac:dyDescent="0.3">
      <c r="A84" t="s">
        <v>117</v>
      </c>
      <c r="B84" t="s">
        <v>29</v>
      </c>
      <c r="C84" t="s">
        <v>36</v>
      </c>
      <c r="D84" s="1">
        <v>45550</v>
      </c>
      <c r="E84" t="s">
        <v>33</v>
      </c>
      <c r="F84" s="2">
        <v>18</v>
      </c>
      <c r="G84">
        <v>20</v>
      </c>
      <c r="H84">
        <v>2</v>
      </c>
      <c r="I84">
        <v>13</v>
      </c>
      <c r="J84">
        <v>5</v>
      </c>
      <c r="K84" t="s">
        <v>47</v>
      </c>
      <c r="L84">
        <v>17</v>
      </c>
      <c r="M84">
        <v>1</v>
      </c>
      <c r="N84">
        <f>YEAR(Table1[[#This Row],[Violation Date]])</f>
        <v>2024</v>
      </c>
    </row>
    <row r="85" spans="1:14" x14ac:dyDescent="0.3">
      <c r="A85" t="s">
        <v>118</v>
      </c>
      <c r="B85" t="s">
        <v>20</v>
      </c>
      <c r="C85" t="s">
        <v>44</v>
      </c>
      <c r="D85" s="1">
        <v>45648</v>
      </c>
      <c r="E85" t="s">
        <v>17</v>
      </c>
      <c r="F85" s="2">
        <v>19</v>
      </c>
      <c r="G85">
        <v>36</v>
      </c>
      <c r="H85">
        <v>2</v>
      </c>
      <c r="I85">
        <v>12</v>
      </c>
      <c r="J85">
        <v>6</v>
      </c>
      <c r="K85" t="s">
        <v>18</v>
      </c>
      <c r="L85">
        <v>15</v>
      </c>
      <c r="M85">
        <v>4</v>
      </c>
      <c r="N85">
        <f>YEAR(Table1[[#This Row],[Violation Date]])</f>
        <v>2024</v>
      </c>
    </row>
    <row r="86" spans="1:14" x14ac:dyDescent="0.3">
      <c r="A86" t="s">
        <v>119</v>
      </c>
      <c r="B86" t="s">
        <v>25</v>
      </c>
      <c r="C86" t="s">
        <v>16</v>
      </c>
      <c r="D86" s="1">
        <v>45309</v>
      </c>
      <c r="E86" t="s">
        <v>22</v>
      </c>
      <c r="F86" s="2">
        <v>12</v>
      </c>
      <c r="G86">
        <v>23</v>
      </c>
      <c r="H86">
        <v>2</v>
      </c>
      <c r="I86">
        <v>15</v>
      </c>
      <c r="J86">
        <v>4</v>
      </c>
      <c r="K86" t="s">
        <v>18</v>
      </c>
      <c r="L86">
        <v>14</v>
      </c>
      <c r="M86">
        <v>2</v>
      </c>
      <c r="N86">
        <f>YEAR(Table1[[#This Row],[Violation Date]])</f>
        <v>2024</v>
      </c>
    </row>
    <row r="87" spans="1:14" x14ac:dyDescent="0.3">
      <c r="A87" t="s">
        <v>120</v>
      </c>
      <c r="B87" t="s">
        <v>15</v>
      </c>
      <c r="C87" t="s">
        <v>21</v>
      </c>
      <c r="D87" s="1">
        <v>45121</v>
      </c>
      <c r="E87" t="s">
        <v>27</v>
      </c>
      <c r="F87" s="2">
        <v>16</v>
      </c>
      <c r="G87">
        <v>14</v>
      </c>
      <c r="H87">
        <v>2</v>
      </c>
      <c r="I87">
        <v>11</v>
      </c>
      <c r="J87">
        <v>8</v>
      </c>
      <c r="K87" t="s">
        <v>23</v>
      </c>
      <c r="L87">
        <v>19</v>
      </c>
      <c r="M87">
        <v>3</v>
      </c>
      <c r="N87">
        <f>YEAR(Table1[[#This Row],[Violation Date]])</f>
        <v>2023</v>
      </c>
    </row>
    <row r="88" spans="1:14" x14ac:dyDescent="0.3">
      <c r="A88" t="s">
        <v>121</v>
      </c>
      <c r="B88" t="s">
        <v>15</v>
      </c>
      <c r="C88" t="s">
        <v>30</v>
      </c>
      <c r="D88" s="1">
        <v>45283</v>
      </c>
      <c r="E88" t="s">
        <v>31</v>
      </c>
      <c r="F88" s="2">
        <v>75</v>
      </c>
      <c r="G88">
        <v>22.5</v>
      </c>
      <c r="H88">
        <v>2</v>
      </c>
      <c r="I88">
        <v>14</v>
      </c>
      <c r="J88">
        <v>7</v>
      </c>
      <c r="K88" t="s">
        <v>47</v>
      </c>
      <c r="L88">
        <v>16</v>
      </c>
      <c r="M88">
        <v>5</v>
      </c>
      <c r="N88">
        <f>YEAR(Table1[[#This Row],[Violation Date]])</f>
        <v>2023</v>
      </c>
    </row>
    <row r="89" spans="1:14" x14ac:dyDescent="0.3">
      <c r="A89" t="s">
        <v>122</v>
      </c>
      <c r="B89" t="s">
        <v>29</v>
      </c>
      <c r="C89" t="s">
        <v>36</v>
      </c>
      <c r="D89" s="1">
        <v>45460</v>
      </c>
      <c r="E89" t="s">
        <v>33</v>
      </c>
      <c r="F89" s="2">
        <v>17</v>
      </c>
      <c r="G89">
        <v>20</v>
      </c>
      <c r="H89">
        <v>2</v>
      </c>
      <c r="I89">
        <v>8</v>
      </c>
      <c r="J89">
        <v>5</v>
      </c>
      <c r="K89" t="s">
        <v>34</v>
      </c>
      <c r="L89">
        <v>13</v>
      </c>
      <c r="M89">
        <v>2</v>
      </c>
      <c r="N89">
        <f>YEAR(Table1[[#This Row],[Violation Date]])</f>
        <v>2024</v>
      </c>
    </row>
    <row r="90" spans="1:14" x14ac:dyDescent="0.3">
      <c r="A90" t="s">
        <v>123</v>
      </c>
      <c r="B90" t="s">
        <v>20</v>
      </c>
      <c r="C90" t="s">
        <v>26</v>
      </c>
      <c r="D90" s="1">
        <v>45592</v>
      </c>
      <c r="E90" t="s">
        <v>27</v>
      </c>
      <c r="F90" s="2">
        <v>19</v>
      </c>
      <c r="G90">
        <v>49</v>
      </c>
      <c r="H90">
        <v>2</v>
      </c>
      <c r="I90">
        <v>12</v>
      </c>
      <c r="J90">
        <v>9</v>
      </c>
      <c r="K90" t="s">
        <v>18</v>
      </c>
      <c r="L90">
        <v>20</v>
      </c>
      <c r="M90">
        <v>1</v>
      </c>
      <c r="N90">
        <f>YEAR(Table1[[#This Row],[Violation Date]])</f>
        <v>2024</v>
      </c>
    </row>
    <row r="91" spans="1:14" x14ac:dyDescent="0.3">
      <c r="A91" t="s">
        <v>124</v>
      </c>
      <c r="B91" t="s">
        <v>15</v>
      </c>
      <c r="C91" t="s">
        <v>44</v>
      </c>
      <c r="D91" s="1">
        <v>45051</v>
      </c>
      <c r="E91" t="s">
        <v>17</v>
      </c>
      <c r="F91" s="2">
        <v>18</v>
      </c>
      <c r="G91">
        <v>46</v>
      </c>
      <c r="H91">
        <v>2</v>
      </c>
      <c r="I91">
        <v>11</v>
      </c>
      <c r="J91">
        <v>6</v>
      </c>
      <c r="K91" t="s">
        <v>47</v>
      </c>
      <c r="L91">
        <v>17</v>
      </c>
      <c r="M91">
        <v>4</v>
      </c>
      <c r="N91">
        <f>YEAR(Table1[[#This Row],[Violation Date]])</f>
        <v>2023</v>
      </c>
    </row>
    <row r="92" spans="1:14" x14ac:dyDescent="0.3">
      <c r="A92" t="s">
        <v>125</v>
      </c>
      <c r="B92" t="s">
        <v>25</v>
      </c>
      <c r="C92" t="s">
        <v>30</v>
      </c>
      <c r="D92" s="1">
        <v>45360</v>
      </c>
      <c r="E92" t="s">
        <v>31</v>
      </c>
      <c r="F92" s="2">
        <v>100</v>
      </c>
      <c r="G92">
        <v>50</v>
      </c>
      <c r="H92">
        <v>2</v>
      </c>
      <c r="I92">
        <v>8</v>
      </c>
      <c r="J92">
        <v>6</v>
      </c>
      <c r="K92" t="s">
        <v>23</v>
      </c>
      <c r="L92">
        <v>12</v>
      </c>
      <c r="M92">
        <v>2</v>
      </c>
      <c r="N92">
        <f>YEAR(Table1[[#This Row],[Violation Date]])</f>
        <v>2024</v>
      </c>
    </row>
    <row r="93" spans="1:14" x14ac:dyDescent="0.3">
      <c r="A93" t="s">
        <v>126</v>
      </c>
      <c r="B93" t="s">
        <v>15</v>
      </c>
      <c r="C93" t="s">
        <v>26</v>
      </c>
      <c r="D93" s="1">
        <v>45484</v>
      </c>
      <c r="E93" t="s">
        <v>22</v>
      </c>
      <c r="F93" s="2">
        <v>15</v>
      </c>
      <c r="G93">
        <v>38</v>
      </c>
      <c r="H93">
        <v>2</v>
      </c>
      <c r="I93">
        <v>10</v>
      </c>
      <c r="J93">
        <v>4</v>
      </c>
      <c r="K93" t="s">
        <v>34</v>
      </c>
      <c r="L93">
        <v>18</v>
      </c>
      <c r="M93">
        <v>3</v>
      </c>
      <c r="N93">
        <f>YEAR(Table1[[#This Row],[Violation Date]])</f>
        <v>2024</v>
      </c>
    </row>
    <row r="94" spans="1:14" x14ac:dyDescent="0.3">
      <c r="A94" t="s">
        <v>127</v>
      </c>
      <c r="B94" t="s">
        <v>29</v>
      </c>
      <c r="C94" t="s">
        <v>36</v>
      </c>
      <c r="D94" s="1">
        <v>45181</v>
      </c>
      <c r="E94" t="s">
        <v>52</v>
      </c>
      <c r="F94" s="2">
        <v>18</v>
      </c>
      <c r="G94">
        <v>20</v>
      </c>
      <c r="H94">
        <v>6</v>
      </c>
      <c r="I94">
        <v>13</v>
      </c>
      <c r="J94">
        <v>5</v>
      </c>
      <c r="K94" t="s">
        <v>47</v>
      </c>
      <c r="L94">
        <v>17</v>
      </c>
      <c r="M94">
        <v>1</v>
      </c>
      <c r="N94">
        <f>YEAR(Table1[[#This Row],[Violation Date]])</f>
        <v>2023</v>
      </c>
    </row>
    <row r="95" spans="1:14" x14ac:dyDescent="0.3">
      <c r="A95" t="s">
        <v>128</v>
      </c>
      <c r="B95" t="s">
        <v>20</v>
      </c>
      <c r="C95" t="s">
        <v>44</v>
      </c>
      <c r="D95" s="1">
        <v>45647</v>
      </c>
      <c r="E95" t="s">
        <v>17</v>
      </c>
      <c r="F95" s="2">
        <v>19</v>
      </c>
      <c r="G95">
        <v>36</v>
      </c>
      <c r="H95">
        <v>2</v>
      </c>
      <c r="I95">
        <v>12</v>
      </c>
      <c r="J95">
        <v>6</v>
      </c>
      <c r="K95" t="s">
        <v>18</v>
      </c>
      <c r="L95">
        <v>15</v>
      </c>
      <c r="M95">
        <v>4</v>
      </c>
      <c r="N95">
        <f>YEAR(Table1[[#This Row],[Violation Date]])</f>
        <v>2024</v>
      </c>
    </row>
    <row r="96" spans="1:14" x14ac:dyDescent="0.3">
      <c r="A96" t="s">
        <v>129</v>
      </c>
      <c r="B96" t="s">
        <v>25</v>
      </c>
      <c r="C96" t="s">
        <v>16</v>
      </c>
      <c r="D96" s="1">
        <v>45307</v>
      </c>
      <c r="E96" t="s">
        <v>31</v>
      </c>
      <c r="F96" s="2">
        <v>12</v>
      </c>
      <c r="G96">
        <v>23</v>
      </c>
      <c r="H96">
        <v>2</v>
      </c>
      <c r="I96">
        <v>15</v>
      </c>
      <c r="J96">
        <v>4</v>
      </c>
      <c r="K96" t="s">
        <v>18</v>
      </c>
      <c r="L96">
        <v>14</v>
      </c>
      <c r="M96">
        <v>2</v>
      </c>
      <c r="N96">
        <f>YEAR(Table1[[#This Row],[Violation Date]])</f>
        <v>2024</v>
      </c>
    </row>
    <row r="97" spans="1:14" x14ac:dyDescent="0.3">
      <c r="A97" t="s">
        <v>130</v>
      </c>
      <c r="B97" t="s">
        <v>15</v>
      </c>
      <c r="C97" t="s">
        <v>21</v>
      </c>
      <c r="D97" s="1">
        <v>45111</v>
      </c>
      <c r="E97" t="s">
        <v>22</v>
      </c>
      <c r="F97" s="2">
        <v>16</v>
      </c>
      <c r="G97">
        <v>44</v>
      </c>
      <c r="H97">
        <v>2</v>
      </c>
      <c r="I97">
        <v>11</v>
      </c>
      <c r="J97">
        <v>8</v>
      </c>
      <c r="K97" t="s">
        <v>23</v>
      </c>
      <c r="L97">
        <v>19</v>
      </c>
      <c r="M97">
        <v>3</v>
      </c>
      <c r="N97">
        <f>YEAR(Table1[[#This Row],[Violation Date]])</f>
        <v>2023</v>
      </c>
    </row>
    <row r="98" spans="1:14" x14ac:dyDescent="0.3">
      <c r="A98" t="s">
        <v>131</v>
      </c>
      <c r="B98" t="s">
        <v>15</v>
      </c>
      <c r="C98" t="s">
        <v>30</v>
      </c>
      <c r="D98" s="1">
        <v>45254</v>
      </c>
      <c r="E98" t="s">
        <v>27</v>
      </c>
      <c r="F98" s="2">
        <v>50</v>
      </c>
      <c r="G98">
        <v>5</v>
      </c>
      <c r="H98">
        <v>2</v>
      </c>
      <c r="I98">
        <v>14</v>
      </c>
      <c r="J98">
        <v>7</v>
      </c>
      <c r="K98" t="s">
        <v>47</v>
      </c>
      <c r="L98">
        <v>16</v>
      </c>
      <c r="M98">
        <v>5</v>
      </c>
      <c r="N98">
        <f>YEAR(Table1[[#This Row],[Violation Date]])</f>
        <v>2023</v>
      </c>
    </row>
    <row r="99" spans="1:14" x14ac:dyDescent="0.3">
      <c r="A99" t="s">
        <v>132</v>
      </c>
      <c r="B99" t="s">
        <v>29</v>
      </c>
      <c r="C99" t="s">
        <v>36</v>
      </c>
      <c r="D99" s="1">
        <v>45084</v>
      </c>
      <c r="E99" t="s">
        <v>52</v>
      </c>
      <c r="F99" s="2">
        <v>17</v>
      </c>
      <c r="G99">
        <v>11</v>
      </c>
      <c r="H99">
        <v>5</v>
      </c>
      <c r="I99">
        <v>8</v>
      </c>
      <c r="J99">
        <v>5</v>
      </c>
      <c r="K99" t="s">
        <v>34</v>
      </c>
      <c r="L99">
        <v>13</v>
      </c>
      <c r="M99">
        <v>2</v>
      </c>
      <c r="N99">
        <f>YEAR(Table1[[#This Row],[Violation Date]])</f>
        <v>2023</v>
      </c>
    </row>
    <row r="100" spans="1:14" x14ac:dyDescent="0.3">
      <c r="A100" t="s">
        <v>133</v>
      </c>
      <c r="B100" t="s">
        <v>20</v>
      </c>
      <c r="C100" t="s">
        <v>26</v>
      </c>
      <c r="D100" s="1">
        <v>45227</v>
      </c>
      <c r="E100" t="s">
        <v>17</v>
      </c>
      <c r="F100" s="2">
        <v>19</v>
      </c>
      <c r="G100">
        <v>49</v>
      </c>
      <c r="H100">
        <v>10</v>
      </c>
      <c r="I100">
        <v>12</v>
      </c>
      <c r="J100">
        <v>9</v>
      </c>
      <c r="K100" t="s">
        <v>18</v>
      </c>
      <c r="L100">
        <v>20</v>
      </c>
      <c r="M100">
        <v>1</v>
      </c>
      <c r="N100">
        <f>YEAR(Table1[[#This Row],[Violation Date]])</f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2026-01-20T22:14:48Z</dcterms:created>
  <dcterms:modified xsi:type="dcterms:W3CDTF">2026-01-20T22:15:01Z</dcterms:modified>
</cp:coreProperties>
</file>