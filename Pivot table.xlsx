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8496"/>
  </bookViews>
  <sheets>
    <sheet name="Pivot table" sheetId="1" r:id="rId1"/>
  </sheets>
  <externalReferences>
    <externalReference r:id="rId2"/>
  </externalReferences>
  <calcPr calcId="145621"/>
  <pivotCaches>
    <pivotCache cacheId="7" r:id="rId3"/>
  </pivotCaches>
</workbook>
</file>

<file path=xl/calcChain.xml><?xml version="1.0" encoding="utf-8"?>
<calcChain xmlns="http://schemas.openxmlformats.org/spreadsheetml/2006/main">
  <c r="G23" i="1" l="1"/>
  <c r="G22" i="1"/>
  <c r="G21" i="1"/>
  <c r="G20" i="1"/>
  <c r="C20" i="1"/>
  <c r="G19" i="1"/>
  <c r="C19" i="1"/>
  <c r="G18" i="1"/>
  <c r="C18" i="1"/>
  <c r="G17" i="1"/>
  <c r="H22" i="1"/>
  <c r="H21" i="1"/>
  <c r="H20" i="1"/>
  <c r="H19" i="1"/>
  <c r="H17" i="1"/>
  <c r="I17" i="1" l="1"/>
  <c r="I19" i="1"/>
  <c r="I20" i="1"/>
  <c r="F20" i="1"/>
  <c r="I21" i="1"/>
  <c r="F21" i="1"/>
  <c r="I22" i="1"/>
  <c r="F17" i="1"/>
  <c r="F22" i="1"/>
  <c r="F19" i="1"/>
  <c r="H18" i="1"/>
  <c r="H23" i="1"/>
  <c r="I23" i="1" l="1"/>
  <c r="F23" i="1"/>
  <c r="I18" i="1"/>
  <c r="F18" i="1"/>
</calcChain>
</file>

<file path=xl/sharedStrings.xml><?xml version="1.0" encoding="utf-8"?>
<sst xmlns="http://schemas.openxmlformats.org/spreadsheetml/2006/main" count="77" uniqueCount="40">
  <si>
    <t>Overview and Key Matrics</t>
  </si>
  <si>
    <t>No. of Violation by Type</t>
  </si>
  <si>
    <t>Active Violation by City</t>
  </si>
  <si>
    <t>No. of Active and Solved TAT.</t>
  </si>
  <si>
    <t>Total Violation by Compilance</t>
  </si>
  <si>
    <t>% of Solved Violation by Compilance</t>
  </si>
  <si>
    <t>Active,Solved and Ignored Violations by Compilance</t>
  </si>
  <si>
    <t>Values</t>
  </si>
  <si>
    <t>Row Labels</t>
  </si>
  <si>
    <t>Sum of Total Violations</t>
  </si>
  <si>
    <t>Sum of Active Violations</t>
  </si>
  <si>
    <t>Sum of Solved Violations</t>
  </si>
  <si>
    <t>Sum of Ignored Violations</t>
  </si>
  <si>
    <t>Red Light Violation</t>
  </si>
  <si>
    <t>Tokyo</t>
  </si>
  <si>
    <t>&lt;1 Day</t>
  </si>
  <si>
    <t>Compliant</t>
  </si>
  <si>
    <t>No Helmet</t>
  </si>
  <si>
    <t>Singapore</t>
  </si>
  <si>
    <t>&lt;1 Month</t>
  </si>
  <si>
    <t>Light Violation</t>
  </si>
  <si>
    <t>Speeding</t>
  </si>
  <si>
    <t>Paris</t>
  </si>
  <si>
    <t>&lt;1 Week</t>
  </si>
  <si>
    <t>Medium Violation</t>
  </si>
  <si>
    <t>Seatbelt Violation</t>
  </si>
  <si>
    <t>Mumbai</t>
  </si>
  <si>
    <t>&lt;12 Hours</t>
  </si>
  <si>
    <t>Severe Violation</t>
  </si>
  <si>
    <t>Sum of Environment Managed</t>
  </si>
  <si>
    <t>Illegal U-turn</t>
  </si>
  <si>
    <t>Sydney</t>
  </si>
  <si>
    <t>Grand Total</t>
  </si>
  <si>
    <t>Sum of Total Rules</t>
  </si>
  <si>
    <t>No License</t>
  </si>
  <si>
    <t>London</t>
  </si>
  <si>
    <t>Sum of Environment Disabled</t>
  </si>
  <si>
    <t>New York</t>
  </si>
  <si>
    <t>Matrics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</si>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</sst>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1" xfId="0" applyNumberFormat="1" applyFont="1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/>
    <xf numFmtId="9" fontId="0" fillId="0" borderId="0" xfId="1" applyFont="1"/>
    <xf numFmtId="0" fontId="0" fillId="0" borderId="0" xfId="0" pivotButton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Total</a:t>
            </a:r>
            <a:r>
              <a:rPr lang="en-GB" baseline="0"/>
              <a:t> Violation</a:t>
            </a:r>
            <a:endParaRPr lang="en-GB"/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'Pivot table'!$B$17</c:f>
              <c:numCache>
                <c:formatCode>General</c:formatCode>
                <c:ptCount val="1"/>
                <c:pt idx="0">
                  <c:v>2307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aseline="0"/>
              <a:t>Solved Violation</a:t>
            </a:r>
            <a:endParaRPr lang="en-GB"/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val>
            <c:numRef>
              <c:f>('Pivot table'!$B$17,'Pivot table'!$B$19)</c:f>
              <c:numCache>
                <c:formatCode>General</c:formatCode>
                <c:ptCount val="2"/>
                <c:pt idx="0">
                  <c:v>2307</c:v>
                </c:pt>
                <c:pt idx="1">
                  <c:v>1041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Active</a:t>
            </a:r>
            <a:r>
              <a:rPr lang="en-GB" baseline="0"/>
              <a:t> Violation</a:t>
            </a:r>
            <a:endParaRPr lang="en-GB"/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val>
            <c:numRef>
              <c:f>('Pivot table'!$B$17,'Pivot table'!$B$18)</c:f>
              <c:numCache>
                <c:formatCode>General</c:formatCode>
                <c:ptCount val="2"/>
                <c:pt idx="0">
                  <c:v>2307</c:v>
                </c:pt>
                <c:pt idx="1">
                  <c:v>720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table!PivotTable6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Violation by Type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table'!$D$4:$D$10</c:f>
              <c:strCache>
                <c:ptCount val="6"/>
                <c:pt idx="0">
                  <c:v>Red Light Violation</c:v>
                </c:pt>
                <c:pt idx="1">
                  <c:v>No Helmet</c:v>
                </c:pt>
                <c:pt idx="2">
                  <c:v>Speeding</c:v>
                </c:pt>
                <c:pt idx="3">
                  <c:v>Seatbelt Violation</c:v>
                </c:pt>
                <c:pt idx="4">
                  <c:v>Illegal U-turn</c:v>
                </c:pt>
                <c:pt idx="5">
                  <c:v>No License</c:v>
                </c:pt>
              </c:strCache>
            </c:strRef>
          </c:cat>
          <c:val>
            <c:numRef>
              <c:f>'Pivot table'!$E$4:$E$10</c:f>
              <c:numCache>
                <c:formatCode>General</c:formatCode>
                <c:ptCount val="6"/>
                <c:pt idx="0">
                  <c:v>517</c:v>
                </c:pt>
                <c:pt idx="1">
                  <c:v>460</c:v>
                </c:pt>
                <c:pt idx="2">
                  <c:v>375</c:v>
                </c:pt>
                <c:pt idx="3">
                  <c:v>352</c:v>
                </c:pt>
                <c:pt idx="4">
                  <c:v>316</c:v>
                </c:pt>
                <c:pt idx="5">
                  <c:v>287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69344"/>
        <c:axId val="138222336"/>
      </c:barChart>
      <c:catAx>
        <c:axId val="136569344"/>
        <c:scaling>
          <c:orientation val="minMax"/>
        </c:scaling>
        <c:delete val="0"/>
        <c:axPos val="l"/>
        <c:majorTickMark val="out"/>
        <c:minorTickMark val="none"/>
        <c:tickLblPos val="nextTo"/>
        <c:crossAx val="138222336"/>
        <c:crosses val="autoZero"/>
        <c:auto val="1"/>
        <c:lblAlgn val="ctr"/>
        <c:lblOffset val="100"/>
        <c:noMultiLvlLbl val="0"/>
      </c:catAx>
      <c:valAx>
        <c:axId val="1382223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6569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table!PivotTable7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Active</a:t>
            </a:r>
            <a:r>
              <a:rPr lang="en-GB" baseline="0"/>
              <a:t> violation by City</a:t>
            </a:r>
            <a:endParaRPr lang="en-GB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table'!$G$4:$G$11</c:f>
              <c:strCache>
                <c:ptCount val="7"/>
                <c:pt idx="0">
                  <c:v>Tokyo</c:v>
                </c:pt>
                <c:pt idx="1">
                  <c:v>Singapore</c:v>
                </c:pt>
                <c:pt idx="2">
                  <c:v>Paris</c:v>
                </c:pt>
                <c:pt idx="3">
                  <c:v>Mumbai</c:v>
                </c:pt>
                <c:pt idx="4">
                  <c:v>Sydney</c:v>
                </c:pt>
                <c:pt idx="5">
                  <c:v>London</c:v>
                </c:pt>
                <c:pt idx="6">
                  <c:v>New York</c:v>
                </c:pt>
              </c:strCache>
            </c:strRef>
          </c:cat>
          <c:val>
            <c:numRef>
              <c:f>'Pivot table'!$H$4:$H$11</c:f>
              <c:numCache>
                <c:formatCode>General</c:formatCode>
                <c:ptCount val="7"/>
                <c:pt idx="0">
                  <c:v>37</c:v>
                </c:pt>
                <c:pt idx="1">
                  <c:v>54</c:v>
                </c:pt>
                <c:pt idx="2">
                  <c:v>68</c:v>
                </c:pt>
                <c:pt idx="3">
                  <c:v>121</c:v>
                </c:pt>
                <c:pt idx="4">
                  <c:v>126</c:v>
                </c:pt>
                <c:pt idx="5">
                  <c:v>147</c:v>
                </c:pt>
                <c:pt idx="6">
                  <c:v>167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Active</a:t>
            </a:r>
            <a:r>
              <a:rPr lang="en-GB" baseline="0"/>
              <a:t> Violations and Helper by City</a:t>
            </a:r>
            <a:endParaRPr lang="en-GB"/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table'!$H$16</c:f>
              <c:strCache>
                <c:ptCount val="1"/>
                <c:pt idx="0">
                  <c:v>Sum of Active Violations</c:v>
                </c:pt>
              </c:strCache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table'!$G$17:$G$23</c:f>
              <c:strCache>
                <c:ptCount val="7"/>
                <c:pt idx="0">
                  <c:v>Tokyo</c:v>
                </c:pt>
                <c:pt idx="1">
                  <c:v>Singapore</c:v>
                </c:pt>
                <c:pt idx="2">
                  <c:v>Paris</c:v>
                </c:pt>
                <c:pt idx="3">
                  <c:v>Mumbai</c:v>
                </c:pt>
                <c:pt idx="4">
                  <c:v>Sydney</c:v>
                </c:pt>
                <c:pt idx="5">
                  <c:v>London</c:v>
                </c:pt>
                <c:pt idx="6">
                  <c:v>New York</c:v>
                </c:pt>
              </c:strCache>
            </c:strRef>
          </c:cat>
          <c:val>
            <c:numRef>
              <c:f>'Pivot table'!$H$17:$H$23</c:f>
              <c:numCache>
                <c:formatCode>General</c:formatCode>
                <c:ptCount val="7"/>
                <c:pt idx="0">
                  <c:v>37</c:v>
                </c:pt>
                <c:pt idx="1">
                  <c:v>54</c:v>
                </c:pt>
                <c:pt idx="2">
                  <c:v>68</c:v>
                </c:pt>
                <c:pt idx="3">
                  <c:v>121</c:v>
                </c:pt>
                <c:pt idx="4">
                  <c:v>126</c:v>
                </c:pt>
                <c:pt idx="5">
                  <c:v>147</c:v>
                </c:pt>
                <c:pt idx="6">
                  <c:v>167</c:v>
                </c:pt>
              </c:numCache>
            </c:numRef>
          </c:val>
        </c:ser>
        <c:ser>
          <c:idx val="1"/>
          <c:order val="1"/>
          <c:tx>
            <c:strRef>
              <c:f>'Pivot table'!$I$16</c:f>
              <c:strCache>
                <c:ptCount val="1"/>
                <c:pt idx="0">
                  <c:v>Helper</c:v>
                </c:pt>
              </c:strCache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table'!$G$17:$G$23</c:f>
              <c:strCache>
                <c:ptCount val="7"/>
                <c:pt idx="0">
                  <c:v>Tokyo</c:v>
                </c:pt>
                <c:pt idx="1">
                  <c:v>Singapore</c:v>
                </c:pt>
                <c:pt idx="2">
                  <c:v>Paris</c:v>
                </c:pt>
                <c:pt idx="3">
                  <c:v>Mumbai</c:v>
                </c:pt>
                <c:pt idx="4">
                  <c:v>Sydney</c:v>
                </c:pt>
                <c:pt idx="5">
                  <c:v>London</c:v>
                </c:pt>
                <c:pt idx="6">
                  <c:v>New York</c:v>
                </c:pt>
              </c:strCache>
            </c:strRef>
          </c:cat>
          <c:val>
            <c:numRef>
              <c:f>'Pivot table'!$I$17:$I$23</c:f>
              <c:numCache>
                <c:formatCode>General</c:formatCode>
                <c:ptCount val="7"/>
                <c:pt idx="0">
                  <c:v>63</c:v>
                </c:pt>
                <c:pt idx="1">
                  <c:v>46</c:v>
                </c:pt>
                <c:pt idx="2">
                  <c:v>32</c:v>
                </c:pt>
                <c:pt idx="3">
                  <c:v>79</c:v>
                </c:pt>
                <c:pt idx="4">
                  <c:v>74</c:v>
                </c:pt>
                <c:pt idx="5">
                  <c:v>53</c:v>
                </c:pt>
                <c:pt idx="6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No.</a:t>
            </a:r>
            <a:r>
              <a:rPr lang="en-GB" baseline="0"/>
              <a:t> of Active and Solved TAT </a:t>
            </a:r>
            <a:endParaRPr lang="en-GB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table'!$K$3</c:f>
              <c:strCache>
                <c:ptCount val="1"/>
                <c:pt idx="0">
                  <c:v>Sum of Active Violations</c:v>
                </c:pt>
              </c:strCache>
            </c:strRef>
          </c:tx>
          <c:invertIfNegative val="0"/>
          <c:cat>
            <c:strRef>
              <c:f>'Pivot table'!$J$4:$J$8</c:f>
              <c:strCache>
                <c:ptCount val="4"/>
                <c:pt idx="0">
                  <c:v>&lt;1 Day</c:v>
                </c:pt>
                <c:pt idx="1">
                  <c:v>&lt;1 Month</c:v>
                </c:pt>
                <c:pt idx="2">
                  <c:v>&lt;1 Week</c:v>
                </c:pt>
                <c:pt idx="3">
                  <c:v>&lt;12 Hours</c:v>
                </c:pt>
              </c:strCache>
            </c:strRef>
          </c:cat>
          <c:val>
            <c:numRef>
              <c:f>'Pivot table'!$K$4:$K$8</c:f>
              <c:numCache>
                <c:formatCode>General</c:formatCode>
                <c:ptCount val="4"/>
                <c:pt idx="0">
                  <c:v>110</c:v>
                </c:pt>
                <c:pt idx="1">
                  <c:v>177</c:v>
                </c:pt>
                <c:pt idx="2">
                  <c:v>283</c:v>
                </c:pt>
                <c:pt idx="3">
                  <c:v>150</c:v>
                </c:pt>
              </c:numCache>
            </c:numRef>
          </c:val>
        </c:ser>
        <c:ser>
          <c:idx val="1"/>
          <c:order val="1"/>
          <c:tx>
            <c:strRef>
              <c:f>'Pivot table'!$L$3</c:f>
              <c:strCache>
                <c:ptCount val="1"/>
                <c:pt idx="0">
                  <c:v>Sum of Solved Violations</c:v>
                </c:pt>
              </c:strCache>
            </c:strRef>
          </c:tx>
          <c:invertIfNegative val="0"/>
          <c:cat>
            <c:strRef>
              <c:f>'Pivot table'!$J$4:$J$8</c:f>
              <c:strCache>
                <c:ptCount val="4"/>
                <c:pt idx="0">
                  <c:v>&lt;1 Day</c:v>
                </c:pt>
                <c:pt idx="1">
                  <c:v>&lt;1 Month</c:v>
                </c:pt>
                <c:pt idx="2">
                  <c:v>&lt;1 Week</c:v>
                </c:pt>
                <c:pt idx="3">
                  <c:v>&lt;12 Hours</c:v>
                </c:pt>
              </c:strCache>
            </c:strRef>
          </c:cat>
          <c:val>
            <c:numRef>
              <c:f>'Pivot table'!$L$4:$L$8</c:f>
              <c:numCache>
                <c:formatCode>General</c:formatCode>
                <c:ptCount val="4"/>
                <c:pt idx="0">
                  <c:v>242</c:v>
                </c:pt>
                <c:pt idx="1">
                  <c:v>237</c:v>
                </c:pt>
                <c:pt idx="2">
                  <c:v>338</c:v>
                </c:pt>
                <c:pt idx="3">
                  <c:v>224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6569856"/>
        <c:axId val="138262720"/>
      </c:barChart>
      <c:catAx>
        <c:axId val="136569856"/>
        <c:scaling>
          <c:orientation val="minMax"/>
        </c:scaling>
        <c:delete val="0"/>
        <c:axPos val="b"/>
        <c:majorTickMark val="none"/>
        <c:minorTickMark val="none"/>
        <c:tickLblPos val="nextTo"/>
        <c:crossAx val="138262720"/>
        <c:crosses val="autoZero"/>
        <c:auto val="1"/>
        <c:lblAlgn val="ctr"/>
        <c:lblOffset val="100"/>
        <c:noMultiLvlLbl val="0"/>
      </c:catAx>
      <c:valAx>
        <c:axId val="1382627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crossAx val="13656985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table!PivotTable3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Solved</a:t>
            </a:r>
            <a:r>
              <a:rPr lang="en-GB" baseline="0"/>
              <a:t> Vioalation by Compilance</a:t>
            </a:r>
            <a:endParaRPr lang="en-GB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table'!$O$3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table'!$N$4:$N$8</c:f>
              <c:strCache>
                <c:ptCount val="4"/>
                <c:pt idx="0">
                  <c:v>Compliant</c:v>
                </c:pt>
                <c:pt idx="1">
                  <c:v>Light Violation</c:v>
                </c:pt>
                <c:pt idx="2">
                  <c:v>Medium Violation</c:v>
                </c:pt>
                <c:pt idx="3">
                  <c:v>Severe Violation</c:v>
                </c:pt>
              </c:strCache>
            </c:strRef>
          </c:cat>
          <c:val>
            <c:numRef>
              <c:f>'Pivot table'!$O$4:$O$8</c:f>
              <c:numCache>
                <c:formatCode>General</c:formatCode>
                <c:ptCount val="4"/>
                <c:pt idx="0">
                  <c:v>409</c:v>
                </c:pt>
                <c:pt idx="1">
                  <c:v>406</c:v>
                </c:pt>
                <c:pt idx="2">
                  <c:v>334</c:v>
                </c:pt>
                <c:pt idx="3">
                  <c:v>1158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078720"/>
        <c:axId val="220168768"/>
      </c:barChart>
      <c:catAx>
        <c:axId val="138078720"/>
        <c:scaling>
          <c:orientation val="minMax"/>
        </c:scaling>
        <c:delete val="0"/>
        <c:axPos val="l"/>
        <c:majorTickMark val="out"/>
        <c:minorTickMark val="none"/>
        <c:tickLblPos val="nextTo"/>
        <c:crossAx val="220168768"/>
        <c:crosses val="autoZero"/>
        <c:auto val="1"/>
        <c:lblAlgn val="ctr"/>
        <c:lblOffset val="100"/>
        <c:noMultiLvlLbl val="0"/>
      </c:catAx>
      <c:valAx>
        <c:axId val="2201687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8078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table!PivotTable5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Active,Solved</a:t>
            </a:r>
            <a:r>
              <a:rPr lang="en-GB" baseline="0"/>
              <a:t> and Ignored Vioalation</a:t>
            </a:r>
            <a:endParaRPr lang="en-GB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</c:pivotFmt>
      <c:pivotFmt>
        <c:idx val="4"/>
      </c:pivotFmt>
      <c:pivotFmt>
        <c:idx val="5"/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table'!$U$3</c:f>
              <c:strCache>
                <c:ptCount val="1"/>
                <c:pt idx="0">
                  <c:v>Sum of Active Violations</c:v>
                </c:pt>
              </c:strCache>
            </c:strRef>
          </c:tx>
          <c:invertIfNegative val="0"/>
          <c:cat>
            <c:strRef>
              <c:f>'Pivot table'!$T$4:$T$8</c:f>
              <c:strCache>
                <c:ptCount val="4"/>
                <c:pt idx="0">
                  <c:v>Compliant</c:v>
                </c:pt>
                <c:pt idx="1">
                  <c:v>Light Violation</c:v>
                </c:pt>
                <c:pt idx="2">
                  <c:v>Medium Violation</c:v>
                </c:pt>
                <c:pt idx="3">
                  <c:v>Severe Violation</c:v>
                </c:pt>
              </c:strCache>
            </c:strRef>
          </c:cat>
          <c:val>
            <c:numRef>
              <c:f>'Pivot table'!$U$4:$U$8</c:f>
              <c:numCache>
                <c:formatCode>General</c:formatCode>
                <c:ptCount val="4"/>
                <c:pt idx="0">
                  <c:v>89</c:v>
                </c:pt>
                <c:pt idx="1">
                  <c:v>131</c:v>
                </c:pt>
                <c:pt idx="2">
                  <c:v>190</c:v>
                </c:pt>
                <c:pt idx="3">
                  <c:v>310</c:v>
                </c:pt>
              </c:numCache>
            </c:numRef>
          </c:val>
        </c:ser>
        <c:ser>
          <c:idx val="1"/>
          <c:order val="1"/>
          <c:tx>
            <c:strRef>
              <c:f>'Pivot table'!$V$3</c:f>
              <c:strCache>
                <c:ptCount val="1"/>
                <c:pt idx="0">
                  <c:v>Sum of Solved Violations</c:v>
                </c:pt>
              </c:strCache>
            </c:strRef>
          </c:tx>
          <c:invertIfNegative val="0"/>
          <c:cat>
            <c:strRef>
              <c:f>'Pivot table'!$T$4:$T$8</c:f>
              <c:strCache>
                <c:ptCount val="4"/>
                <c:pt idx="0">
                  <c:v>Compliant</c:v>
                </c:pt>
                <c:pt idx="1">
                  <c:v>Light Violation</c:v>
                </c:pt>
                <c:pt idx="2">
                  <c:v>Medium Violation</c:v>
                </c:pt>
                <c:pt idx="3">
                  <c:v>Severe Violation</c:v>
                </c:pt>
              </c:strCache>
            </c:strRef>
          </c:cat>
          <c:val>
            <c:numRef>
              <c:f>'Pivot table'!$V$4:$V$8</c:f>
              <c:numCache>
                <c:formatCode>General</c:formatCode>
                <c:ptCount val="4"/>
                <c:pt idx="0">
                  <c:v>144</c:v>
                </c:pt>
                <c:pt idx="1">
                  <c:v>235</c:v>
                </c:pt>
                <c:pt idx="2">
                  <c:v>191</c:v>
                </c:pt>
                <c:pt idx="3">
                  <c:v>471</c:v>
                </c:pt>
              </c:numCache>
            </c:numRef>
          </c:val>
        </c:ser>
        <c:ser>
          <c:idx val="2"/>
          <c:order val="2"/>
          <c:tx>
            <c:strRef>
              <c:f>'Pivot table'!$W$3</c:f>
              <c:strCache>
                <c:ptCount val="1"/>
                <c:pt idx="0">
                  <c:v>Sum of Ignored Violations</c:v>
                </c:pt>
              </c:strCache>
            </c:strRef>
          </c:tx>
          <c:invertIfNegative val="0"/>
          <c:cat>
            <c:strRef>
              <c:f>'Pivot table'!$T$4:$T$8</c:f>
              <c:strCache>
                <c:ptCount val="4"/>
                <c:pt idx="0">
                  <c:v>Compliant</c:v>
                </c:pt>
                <c:pt idx="1">
                  <c:v>Light Violation</c:v>
                </c:pt>
                <c:pt idx="2">
                  <c:v>Medium Violation</c:v>
                </c:pt>
                <c:pt idx="3">
                  <c:v>Severe Violation</c:v>
                </c:pt>
              </c:strCache>
            </c:strRef>
          </c:cat>
          <c:val>
            <c:numRef>
              <c:f>'Pivot table'!$W$4:$W$8</c:f>
              <c:numCache>
                <c:formatCode>General</c:formatCode>
                <c:ptCount val="4"/>
                <c:pt idx="0">
                  <c:v>94</c:v>
                </c:pt>
                <c:pt idx="1">
                  <c:v>114</c:v>
                </c:pt>
                <c:pt idx="2">
                  <c:v>106</c:v>
                </c:pt>
                <c:pt idx="3">
                  <c:v>217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70880"/>
        <c:axId val="220171072"/>
      </c:barChart>
      <c:catAx>
        <c:axId val="136570880"/>
        <c:scaling>
          <c:orientation val="minMax"/>
        </c:scaling>
        <c:delete val="0"/>
        <c:axPos val="b"/>
        <c:majorTickMark val="none"/>
        <c:minorTickMark val="none"/>
        <c:tickLblPos val="nextTo"/>
        <c:crossAx val="220171072"/>
        <c:crosses val="autoZero"/>
        <c:auto val="1"/>
        <c:lblAlgn val="ctr"/>
        <c:lblOffset val="100"/>
        <c:noMultiLvlLbl val="0"/>
      </c:catAx>
      <c:valAx>
        <c:axId val="2201710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36570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142876</xdr:colOff>
      <xdr:row>28</xdr:row>
      <xdr:rowOff>133350</xdr:rowOff>
    </xdr:from>
    <xdr:to>
      <xdr:col>3</xdr:col>
      <xdr:colOff>447675</xdr:colOff>
      <xdr:row>39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828675</xdr:colOff>
      <xdr:row>27</xdr:row>
      <xdr:rowOff>152400</xdr:rowOff>
    </xdr:from>
    <xdr:to>
      <xdr:col>5</xdr:col>
      <xdr:colOff>1133475</xdr:colOff>
      <xdr:row>39</xdr:row>
      <xdr:rowOff>123826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561975</xdr:colOff>
      <xdr:row>28</xdr:row>
      <xdr:rowOff>85725</xdr:rowOff>
    </xdr:from>
    <xdr:to>
      <xdr:col>9</xdr:col>
      <xdr:colOff>371475</xdr:colOff>
      <xdr:row>40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457200</xdr:colOff>
      <xdr:row>15</xdr:row>
      <xdr:rowOff>42863</xdr:rowOff>
    </xdr:from>
    <xdr:to>
      <xdr:col>12</xdr:col>
      <xdr:colOff>123825</xdr:colOff>
      <xdr:row>30</xdr:row>
      <xdr:rowOff>71438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28575</xdr:colOff>
      <xdr:row>15</xdr:row>
      <xdr:rowOff>119063</xdr:rowOff>
    </xdr:from>
    <xdr:to>
      <xdr:col>17</xdr:col>
      <xdr:colOff>438150</xdr:colOff>
      <xdr:row>30</xdr:row>
      <xdr:rowOff>147638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1323975</xdr:colOff>
      <xdr:row>41</xdr:row>
      <xdr:rowOff>90488</xdr:rowOff>
    </xdr:from>
    <xdr:to>
      <xdr:col>9</xdr:col>
      <xdr:colOff>266700</xdr:colOff>
      <xdr:row>56</xdr:row>
      <xdr:rowOff>119063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247650</xdr:colOff>
      <xdr:row>33</xdr:row>
      <xdr:rowOff>100013</xdr:rowOff>
    </xdr:from>
    <xdr:to>
      <xdr:col>14</xdr:col>
      <xdr:colOff>123825</xdr:colOff>
      <xdr:row>48</xdr:row>
      <xdr:rowOff>128588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638175</xdr:colOff>
      <xdr:row>15</xdr:row>
      <xdr:rowOff>61913</xdr:rowOff>
    </xdr:from>
    <xdr:to>
      <xdr:col>21</xdr:col>
      <xdr:colOff>514350</xdr:colOff>
      <xdr:row>30</xdr:row>
      <xdr:rowOff>90488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1009650</xdr:colOff>
      <xdr:row>15</xdr:row>
      <xdr:rowOff>128588</xdr:rowOff>
    </xdr:from>
    <xdr:to>
      <xdr:col>27</xdr:col>
      <xdr:colOff>38100</xdr:colOff>
      <xdr:row>30</xdr:row>
      <xdr:rowOff>157163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44743/OneDrive%20-%20Liverpool%20John%20Moores%20University/SEM1/Desktop/My%20DOc/data%20analysis%20projects/Traffic%20violation%20and%20compilance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data"/>
      <sheetName val="Working data"/>
      <sheetName val="Pivot table"/>
      <sheetName val="Dashboard"/>
    </sheetNames>
    <sheetDataSet>
      <sheetData sheetId="0"/>
      <sheetData sheetId="1"/>
      <sheetData sheetId="2">
        <row r="16">
          <cell r="H16" t="str">
            <v>Sum of Active Violations</v>
          </cell>
          <cell r="I16" t="str">
            <v>Helper</v>
          </cell>
        </row>
        <row r="17">
          <cell r="B17">
            <v>2307</v>
          </cell>
          <cell r="G17" t="str">
            <v>Tokyo</v>
          </cell>
          <cell r="H17">
            <v>37</v>
          </cell>
          <cell r="I17">
            <v>63</v>
          </cell>
        </row>
        <row r="18">
          <cell r="B18">
            <v>720</v>
          </cell>
          <cell r="G18" t="str">
            <v>Singapore</v>
          </cell>
          <cell r="H18">
            <v>54</v>
          </cell>
          <cell r="I18">
            <v>46</v>
          </cell>
        </row>
        <row r="19">
          <cell r="B19">
            <v>1041</v>
          </cell>
          <cell r="G19" t="str">
            <v>Paris</v>
          </cell>
          <cell r="H19">
            <v>68</v>
          </cell>
          <cell r="I19">
            <v>32</v>
          </cell>
        </row>
        <row r="20">
          <cell r="G20" t="str">
            <v>Mumbai</v>
          </cell>
          <cell r="H20">
            <v>121</v>
          </cell>
          <cell r="I20">
            <v>79</v>
          </cell>
        </row>
        <row r="21">
          <cell r="G21" t="str">
            <v>Sydney</v>
          </cell>
          <cell r="H21">
            <v>126</v>
          </cell>
          <cell r="I21">
            <v>74</v>
          </cell>
        </row>
        <row r="22">
          <cell r="G22" t="str">
            <v>London</v>
          </cell>
          <cell r="H22">
            <v>147</v>
          </cell>
          <cell r="I22">
            <v>53</v>
          </cell>
        </row>
        <row r="23">
          <cell r="G23" t="str">
            <v>New York</v>
          </cell>
          <cell r="H23">
            <v>167</v>
          </cell>
          <cell r="I23">
            <v>33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44743/OneDrive%20-%20Liverpool%20John%20Moores%20University/SEM1/Desktop/My%20DOc/data%20analysis%20projects/Traffic%20violation%20and%20compilance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iswarya Kattappilly Ravi" refreshedDate="46042.89729108796" createdVersion="4" refreshedVersion="4" minRefreshableVersion="3" recordCount="99">
  <cacheSource type="worksheet">
    <worksheetSource name="Table1" r:id="rId2"/>
  </cacheSource>
  <cacheFields count="14">
    <cacheField name="Device Name" numFmtId="0">
      <sharedItems/>
    </cacheField>
    <cacheField name="Compliance " numFmtId="0">
      <sharedItems count="4">
        <s v="Severe Violation"/>
        <s v="Compliant"/>
        <s v="Light Violation"/>
        <s v="Medium Violation"/>
      </sharedItems>
    </cacheField>
    <cacheField name="Violation Type" numFmtId="0">
      <sharedItems count="6">
        <s v="Illegal U-turn"/>
        <s v="Seatbelt Violation"/>
        <s v="Red Light Violation"/>
        <s v="Speeding"/>
        <s v="No License"/>
        <s v="No Helmet"/>
      </sharedItems>
    </cacheField>
    <cacheField name="Violation Date" numFmtId="14">
      <sharedItems containsSemiMixedTypes="0" containsNonDate="0" containsDate="1" containsString="0" minDate="2023-01-01T00:00:00" maxDate="2024-12-29T00:00:00"/>
    </cacheField>
    <cacheField name="City" numFmtId="0">
      <sharedItems count="7">
        <s v="New York"/>
        <s v="Tokyo"/>
        <s v="Paris"/>
        <s v="Sydney"/>
        <s v="Mumbai"/>
        <s v="London"/>
        <s v="Singapore"/>
      </sharedItems>
    </cacheField>
    <cacheField name="Total Rules" numFmtId="1">
      <sharedItems containsSemiMixedTypes="0" containsString="0" containsNumber="1" containsInteger="1" minValue="10" maxValue="100"/>
    </cacheField>
    <cacheField name="Total Violations" numFmtId="0">
      <sharedItems containsSemiMixedTypes="0" containsString="0" containsNumber="1" minValue="0" maxValue="50"/>
    </cacheField>
    <cacheField name="Active Violations" numFmtId="0">
      <sharedItems containsSemiMixedTypes="0" containsString="0" containsNumber="1" containsInteger="1" minValue="1" maxValue="38"/>
    </cacheField>
    <cacheField name="Solved Violations" numFmtId="0">
      <sharedItems containsSemiMixedTypes="0" containsString="0" containsNumber="1" containsInteger="1" minValue="5" maxValue="15"/>
    </cacheField>
    <cacheField name="Ignored Violations" numFmtId="0">
      <sharedItems containsSemiMixedTypes="0" containsString="0" containsNumber="1" containsInteger="1" minValue="2" maxValue="13"/>
    </cacheField>
    <cacheField name="Solving Time" numFmtId="0">
      <sharedItems count="4">
        <s v="&lt;1 Week"/>
        <s v="&lt;12 Hours"/>
        <s v="&lt;1 Month"/>
        <s v="&lt;1 Day"/>
      </sharedItems>
    </cacheField>
    <cacheField name="Environment Managed" numFmtId="0">
      <sharedItems containsSemiMixedTypes="0" containsString="0" containsNumber="1" containsInteger="1" minValue="10" maxValue="20"/>
    </cacheField>
    <cacheField name="Environment Disabled" numFmtId="0">
      <sharedItems containsSemiMixedTypes="0" containsString="0" containsNumber="1" containsInteger="1" minValue="1" maxValue="5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s v="Device_106"/>
    <x v="0"/>
    <x v="0"/>
    <d v="2023-05-01T00:00:00"/>
    <x v="0"/>
    <n v="16"/>
    <n v="50"/>
    <n v="28"/>
    <n v="13"/>
    <n v="6"/>
    <x v="0"/>
    <n v="14"/>
    <n v="4"/>
    <x v="0"/>
  </r>
  <r>
    <s v="Device_107"/>
    <x v="1"/>
    <x v="1"/>
    <d v="2024-11-19T00:00:00"/>
    <x v="1"/>
    <n v="16"/>
    <n v="14"/>
    <n v="5"/>
    <n v="6"/>
    <n v="4"/>
    <x v="1"/>
    <n v="19"/>
    <n v="2"/>
    <x v="1"/>
  </r>
  <r>
    <s v="Device_108"/>
    <x v="2"/>
    <x v="2"/>
    <d v="2024-11-05T00:00:00"/>
    <x v="2"/>
    <n v="16"/>
    <n v="10"/>
    <n v="9"/>
    <n v="9"/>
    <n v="9"/>
    <x v="0"/>
    <n v="15"/>
    <n v="1"/>
    <x v="1"/>
  </r>
  <r>
    <s v="Device_109"/>
    <x v="3"/>
    <x v="3"/>
    <d v="2024-09-29T00:00:00"/>
    <x v="3"/>
    <n v="10"/>
    <n v="0"/>
    <n v="11"/>
    <n v="5"/>
    <n v="6"/>
    <x v="1"/>
    <n v="11"/>
    <n v="1"/>
    <x v="1"/>
  </r>
  <r>
    <s v="Device_110"/>
    <x v="2"/>
    <x v="1"/>
    <d v="2024-09-07T00:00:00"/>
    <x v="4"/>
    <n v="15"/>
    <n v="10"/>
    <n v="9"/>
    <n v="12"/>
    <n v="4"/>
    <x v="2"/>
    <n v="12"/>
    <n v="1"/>
    <x v="1"/>
  </r>
  <r>
    <s v="Device_111"/>
    <x v="0"/>
    <x v="4"/>
    <d v="2024-06-17T00:00:00"/>
    <x v="1"/>
    <n v="18"/>
    <n v="19"/>
    <n v="9"/>
    <n v="14"/>
    <n v="4"/>
    <x v="0"/>
    <n v="14"/>
    <n v="1"/>
    <x v="1"/>
  </r>
  <r>
    <s v="Device_112"/>
    <x v="2"/>
    <x v="1"/>
    <d v="2023-04-02T00:00:00"/>
    <x v="0"/>
    <n v="16"/>
    <n v="10"/>
    <n v="9"/>
    <n v="6"/>
    <n v="7"/>
    <x v="1"/>
    <n v="17"/>
    <n v="1"/>
    <x v="0"/>
  </r>
  <r>
    <s v="Device_113"/>
    <x v="0"/>
    <x v="3"/>
    <d v="2024-02-13T00:00:00"/>
    <x v="2"/>
    <n v="25"/>
    <n v="15"/>
    <n v="14"/>
    <n v="11"/>
    <n v="4"/>
    <x v="2"/>
    <n v="15"/>
    <n v="4"/>
    <x v="1"/>
  </r>
  <r>
    <s v="Device_114"/>
    <x v="0"/>
    <x v="2"/>
    <d v="2023-06-27T00:00:00"/>
    <x v="3"/>
    <n v="18"/>
    <n v="14"/>
    <n v="1"/>
    <n v="13"/>
    <n v="2"/>
    <x v="2"/>
    <n v="11"/>
    <n v="2"/>
    <x v="0"/>
  </r>
  <r>
    <s v="Device_115"/>
    <x v="0"/>
    <x v="2"/>
    <d v="2023-01-01T00:00:00"/>
    <x v="4"/>
    <n v="20"/>
    <n v="19"/>
    <n v="6"/>
    <n v="13"/>
    <n v="7"/>
    <x v="1"/>
    <n v="14"/>
    <n v="2"/>
    <x v="0"/>
  </r>
  <r>
    <s v="Device_116"/>
    <x v="0"/>
    <x v="1"/>
    <d v="2024-01-22T00:00:00"/>
    <x v="3"/>
    <n v="20"/>
    <n v="14"/>
    <n v="9"/>
    <n v="15"/>
    <n v="3"/>
    <x v="0"/>
    <n v="19"/>
    <n v="1"/>
    <x v="1"/>
  </r>
  <r>
    <s v="Device_117"/>
    <x v="0"/>
    <x v="1"/>
    <d v="2023-01-21T00:00:00"/>
    <x v="4"/>
    <n v="18"/>
    <n v="23"/>
    <n v="12"/>
    <n v="13"/>
    <n v="4"/>
    <x v="0"/>
    <n v="10"/>
    <n v="2"/>
    <x v="0"/>
  </r>
  <r>
    <s v="Device_118"/>
    <x v="2"/>
    <x v="5"/>
    <d v="2024-11-22T00:00:00"/>
    <x v="0"/>
    <n v="18"/>
    <n v="10"/>
    <n v="9"/>
    <n v="15"/>
    <n v="5"/>
    <x v="1"/>
    <n v="16"/>
    <n v="2"/>
    <x v="1"/>
  </r>
  <r>
    <s v="Device_119"/>
    <x v="2"/>
    <x v="1"/>
    <d v="2024-04-15T00:00:00"/>
    <x v="2"/>
    <n v="20"/>
    <n v="10"/>
    <n v="9"/>
    <n v="9"/>
    <n v="2"/>
    <x v="1"/>
    <n v="14"/>
    <n v="5"/>
    <x v="1"/>
  </r>
  <r>
    <s v="Device_120"/>
    <x v="3"/>
    <x v="1"/>
    <d v="2023-10-18T00:00:00"/>
    <x v="1"/>
    <n v="17"/>
    <n v="10"/>
    <n v="9"/>
    <n v="5"/>
    <n v="2"/>
    <x v="3"/>
    <n v="19"/>
    <n v="3"/>
    <x v="0"/>
  </r>
  <r>
    <s v="Device_121"/>
    <x v="1"/>
    <x v="2"/>
    <d v="2023-01-09T00:00:00"/>
    <x v="4"/>
    <n v="16"/>
    <n v="39"/>
    <n v="15"/>
    <n v="5"/>
    <n v="5"/>
    <x v="2"/>
    <n v="18"/>
    <n v="3"/>
    <x v="0"/>
  </r>
  <r>
    <s v="Device_122"/>
    <x v="0"/>
    <x v="5"/>
    <d v="2023-12-05T00:00:00"/>
    <x v="3"/>
    <n v="10"/>
    <n v="35"/>
    <n v="9"/>
    <n v="13"/>
    <n v="2"/>
    <x v="3"/>
    <n v="11"/>
    <n v="5"/>
    <x v="0"/>
  </r>
  <r>
    <s v="Device_123"/>
    <x v="3"/>
    <x v="5"/>
    <d v="2024-01-24T00:00:00"/>
    <x v="0"/>
    <n v="18"/>
    <n v="16"/>
    <n v="30"/>
    <n v="14"/>
    <n v="13"/>
    <x v="2"/>
    <n v="11"/>
    <n v="2"/>
    <x v="1"/>
  </r>
  <r>
    <s v="Device_124"/>
    <x v="0"/>
    <x v="3"/>
    <d v="2024-09-17T00:00:00"/>
    <x v="5"/>
    <n v="50"/>
    <n v="20"/>
    <n v="38"/>
    <n v="5"/>
    <n v="6"/>
    <x v="0"/>
    <n v="11"/>
    <n v="5"/>
    <x v="1"/>
  </r>
  <r>
    <s v="Device_125"/>
    <x v="0"/>
    <x v="0"/>
    <d v="2023-04-23T00:00:00"/>
    <x v="2"/>
    <n v="17"/>
    <n v="46"/>
    <n v="15"/>
    <n v="11"/>
    <n v="2"/>
    <x v="2"/>
    <n v="10"/>
    <n v="5"/>
    <x v="0"/>
  </r>
  <r>
    <s v="Device_126"/>
    <x v="0"/>
    <x v="3"/>
    <d v="2024-02-18T00:00:00"/>
    <x v="3"/>
    <n v="75"/>
    <n v="50"/>
    <n v="28"/>
    <n v="8"/>
    <n v="3"/>
    <x v="0"/>
    <n v="15"/>
    <n v="4"/>
    <x v="1"/>
  </r>
  <r>
    <s v="Device_127"/>
    <x v="3"/>
    <x v="4"/>
    <d v="2023-11-07T00:00:00"/>
    <x v="4"/>
    <n v="10"/>
    <n v="16"/>
    <n v="13"/>
    <n v="6"/>
    <n v="9"/>
    <x v="3"/>
    <n v="18"/>
    <n v="1"/>
    <x v="0"/>
  </r>
  <r>
    <s v="Device_128"/>
    <x v="1"/>
    <x v="1"/>
    <d v="2023-10-10T00:00:00"/>
    <x v="2"/>
    <n v="15"/>
    <n v="10"/>
    <n v="13"/>
    <n v="9"/>
    <n v="7"/>
    <x v="2"/>
    <n v="19"/>
    <n v="4"/>
    <x v="0"/>
  </r>
  <r>
    <s v="Device_129"/>
    <x v="2"/>
    <x v="4"/>
    <d v="2023-11-13T00:00:00"/>
    <x v="0"/>
    <n v="19"/>
    <n v="10"/>
    <n v="11"/>
    <n v="12"/>
    <n v="5"/>
    <x v="1"/>
    <n v="18"/>
    <n v="2"/>
    <x v="0"/>
  </r>
  <r>
    <s v="Device_130"/>
    <x v="0"/>
    <x v="4"/>
    <d v="2024-07-07T00:00:00"/>
    <x v="3"/>
    <n v="12"/>
    <n v="13"/>
    <n v="11"/>
    <n v="14"/>
    <n v="8"/>
    <x v="0"/>
    <n v="13"/>
    <n v="1"/>
    <x v="1"/>
  </r>
  <r>
    <s v="Device_131"/>
    <x v="3"/>
    <x v="5"/>
    <d v="2024-01-07T00:00:00"/>
    <x v="5"/>
    <n v="13"/>
    <n v="16"/>
    <n v="11"/>
    <n v="11"/>
    <n v="6"/>
    <x v="0"/>
    <n v="15"/>
    <n v="1"/>
    <x v="1"/>
  </r>
  <r>
    <s v="Device_132"/>
    <x v="3"/>
    <x v="1"/>
    <d v="2023-12-27T00:00:00"/>
    <x v="4"/>
    <n v="17"/>
    <n v="16"/>
    <n v="4"/>
    <n v="6"/>
    <n v="2"/>
    <x v="1"/>
    <n v="17"/>
    <n v="4"/>
    <x v="0"/>
  </r>
  <r>
    <s v="Device_133"/>
    <x v="2"/>
    <x v="2"/>
    <d v="2024-04-08T00:00:00"/>
    <x v="0"/>
    <n v="17"/>
    <n v="10"/>
    <n v="11"/>
    <n v="9"/>
    <n v="4"/>
    <x v="1"/>
    <n v="15"/>
    <n v="1"/>
    <x v="1"/>
  </r>
  <r>
    <s v="Device_134"/>
    <x v="1"/>
    <x v="1"/>
    <d v="2023-07-02T00:00:00"/>
    <x v="6"/>
    <n v="11"/>
    <n v="18"/>
    <n v="7"/>
    <n v="9"/>
    <n v="7"/>
    <x v="0"/>
    <n v="16"/>
    <n v="5"/>
    <x v="0"/>
  </r>
  <r>
    <s v="Device_135"/>
    <x v="0"/>
    <x v="5"/>
    <d v="2023-09-19T00:00:00"/>
    <x v="3"/>
    <n v="15"/>
    <n v="42"/>
    <n v="2"/>
    <n v="9"/>
    <n v="4"/>
    <x v="2"/>
    <n v="12"/>
    <n v="5"/>
    <x v="0"/>
  </r>
  <r>
    <s v="Device_136"/>
    <x v="3"/>
    <x v="2"/>
    <d v="2024-07-02T00:00:00"/>
    <x v="5"/>
    <n v="15"/>
    <n v="16"/>
    <n v="32"/>
    <n v="11"/>
    <n v="5"/>
    <x v="0"/>
    <n v="19"/>
    <n v="2"/>
    <x v="1"/>
  </r>
  <r>
    <s v="Device_137"/>
    <x v="0"/>
    <x v="4"/>
    <d v="2023-08-10T00:00:00"/>
    <x v="4"/>
    <n v="13"/>
    <n v="17"/>
    <n v="6"/>
    <n v="14"/>
    <n v="4"/>
    <x v="3"/>
    <n v="18"/>
    <n v="3"/>
    <x v="0"/>
  </r>
  <r>
    <s v="Device_138"/>
    <x v="1"/>
    <x v="1"/>
    <d v="2024-06-13T00:00:00"/>
    <x v="0"/>
    <n v="11"/>
    <n v="18"/>
    <n v="11"/>
    <n v="6"/>
    <n v="6"/>
    <x v="1"/>
    <n v="15"/>
    <n v="1"/>
    <x v="1"/>
  </r>
  <r>
    <s v="Device_139"/>
    <x v="2"/>
    <x v="3"/>
    <d v="2024-11-23T00:00:00"/>
    <x v="6"/>
    <n v="100"/>
    <n v="50"/>
    <n v="11"/>
    <n v="11"/>
    <n v="3"/>
    <x v="2"/>
    <n v="13"/>
    <n v="4"/>
    <x v="1"/>
  </r>
  <r>
    <s v="Device_140"/>
    <x v="0"/>
    <x v="0"/>
    <d v="2023-05-27T00:00:00"/>
    <x v="5"/>
    <n v="18"/>
    <n v="41"/>
    <n v="11"/>
    <n v="12"/>
    <n v="4"/>
    <x v="0"/>
    <n v="12"/>
    <n v="3"/>
    <x v="0"/>
  </r>
  <r>
    <s v="Device_141"/>
    <x v="3"/>
    <x v="5"/>
    <d v="2023-02-21T00:00:00"/>
    <x v="3"/>
    <n v="14"/>
    <n v="16"/>
    <n v="9"/>
    <n v="8"/>
    <n v="3"/>
    <x v="1"/>
    <n v="11"/>
    <n v="4"/>
    <x v="0"/>
  </r>
  <r>
    <s v="Device_142"/>
    <x v="0"/>
    <x v="2"/>
    <d v="2024-04-14T00:00:00"/>
    <x v="4"/>
    <n v="17"/>
    <n v="15"/>
    <n v="11"/>
    <n v="9"/>
    <n v="5"/>
    <x v="2"/>
    <n v="17"/>
    <n v="2"/>
    <x v="1"/>
  </r>
  <r>
    <s v="Device_143"/>
    <x v="0"/>
    <x v="1"/>
    <d v="2023-09-10T00:00:00"/>
    <x v="0"/>
    <n v="11"/>
    <n v="23"/>
    <n v="11"/>
    <n v="5"/>
    <n v="6"/>
    <x v="1"/>
    <n v="14"/>
    <n v="5"/>
    <x v="0"/>
  </r>
  <r>
    <s v="Device_144"/>
    <x v="3"/>
    <x v="3"/>
    <d v="2023-06-12T00:00:00"/>
    <x v="3"/>
    <n v="10"/>
    <n v="0"/>
    <n v="7"/>
    <n v="7"/>
    <n v="3"/>
    <x v="0"/>
    <n v="16"/>
    <n v="1"/>
    <x v="0"/>
  </r>
  <r>
    <s v="Device_145"/>
    <x v="2"/>
    <x v="4"/>
    <d v="2024-12-07T00:00:00"/>
    <x v="5"/>
    <n v="13"/>
    <n v="14"/>
    <n v="7"/>
    <n v="13"/>
    <n v="4"/>
    <x v="3"/>
    <n v="20"/>
    <n v="2"/>
    <x v="1"/>
  </r>
  <r>
    <s v="Device_146"/>
    <x v="0"/>
    <x v="4"/>
    <d v="2023-03-10T00:00:00"/>
    <x v="6"/>
    <n v="16"/>
    <n v="12"/>
    <n v="7"/>
    <n v="10"/>
    <n v="7"/>
    <x v="1"/>
    <n v="18"/>
    <n v="1"/>
    <x v="0"/>
  </r>
  <r>
    <s v="Device_147"/>
    <x v="3"/>
    <x v="5"/>
    <d v="2024-05-14T00:00:00"/>
    <x v="4"/>
    <n v="19"/>
    <n v="16"/>
    <n v="17"/>
    <n v="12"/>
    <n v="5"/>
    <x v="3"/>
    <n v="16"/>
    <n v="4"/>
    <x v="1"/>
  </r>
  <r>
    <s v="Device_148"/>
    <x v="2"/>
    <x v="1"/>
    <d v="2024-07-18T00:00:00"/>
    <x v="0"/>
    <n v="11"/>
    <n v="23"/>
    <n v="7"/>
    <n v="7"/>
    <n v="8"/>
    <x v="0"/>
    <n v="17"/>
    <n v="2"/>
    <x v="1"/>
  </r>
  <r>
    <s v="Device_149"/>
    <x v="1"/>
    <x v="0"/>
    <d v="2023-12-23T00:00:00"/>
    <x v="5"/>
    <n v="17"/>
    <n v="18"/>
    <n v="7"/>
    <n v="10"/>
    <n v="6"/>
    <x v="1"/>
    <n v="19"/>
    <n v="1"/>
    <x v="0"/>
  </r>
  <r>
    <s v="Device_150"/>
    <x v="0"/>
    <x v="3"/>
    <d v="2023-08-29T00:00:00"/>
    <x v="6"/>
    <n v="25"/>
    <n v="15"/>
    <n v="7"/>
    <n v="13"/>
    <n v="4"/>
    <x v="2"/>
    <n v="11"/>
    <n v="2"/>
    <x v="0"/>
  </r>
  <r>
    <s v="Device_151"/>
    <x v="0"/>
    <x v="2"/>
    <d v="2023-10-13T00:00:00"/>
    <x v="3"/>
    <n v="13"/>
    <n v="23"/>
    <n v="7"/>
    <n v="9"/>
    <n v="5"/>
    <x v="0"/>
    <n v="15"/>
    <n v="5"/>
    <x v="0"/>
  </r>
  <r>
    <s v="Device_152"/>
    <x v="3"/>
    <x v="4"/>
    <d v="2024-11-12T00:00:00"/>
    <x v="4"/>
    <n v="12"/>
    <n v="16"/>
    <n v="9"/>
    <n v="6"/>
    <n v="2"/>
    <x v="0"/>
    <n v="14"/>
    <n v="3"/>
    <x v="1"/>
  </r>
  <r>
    <s v="Device_153"/>
    <x v="2"/>
    <x v="1"/>
    <d v="2023-01-20T00:00:00"/>
    <x v="5"/>
    <n v="19"/>
    <n v="23"/>
    <n v="7"/>
    <n v="11"/>
    <n v="6"/>
    <x v="2"/>
    <n v="13"/>
    <n v="5"/>
    <x v="0"/>
  </r>
  <r>
    <s v="Device_154"/>
    <x v="0"/>
    <x v="5"/>
    <d v="2024-04-11T00:00:00"/>
    <x v="0"/>
    <n v="16"/>
    <n v="40"/>
    <n v="7"/>
    <n v="12"/>
    <n v="4"/>
    <x v="0"/>
    <n v="12"/>
    <n v="4"/>
    <x v="1"/>
  </r>
  <r>
    <s v="Device_155"/>
    <x v="2"/>
    <x v="2"/>
    <d v="2023-07-22T00:00:00"/>
    <x v="6"/>
    <n v="17"/>
    <n v="23"/>
    <n v="7"/>
    <n v="15"/>
    <n v="5"/>
    <x v="3"/>
    <n v="19"/>
    <n v="3"/>
    <x v="0"/>
  </r>
  <r>
    <s v="Device_156"/>
    <x v="0"/>
    <x v="3"/>
    <d v="2023-03-18T00:00:00"/>
    <x v="3"/>
    <n v="50"/>
    <n v="25"/>
    <n v="7"/>
    <n v="11"/>
    <n v="5"/>
    <x v="1"/>
    <n v="18"/>
    <n v="4"/>
    <x v="0"/>
  </r>
  <r>
    <s v="Device_157"/>
    <x v="2"/>
    <x v="0"/>
    <d v="2024-02-26T00:00:00"/>
    <x v="4"/>
    <n v="19"/>
    <n v="23"/>
    <n v="8"/>
    <n v="15"/>
    <n v="6"/>
    <x v="2"/>
    <n v="16"/>
    <n v="1"/>
    <x v="1"/>
  </r>
  <r>
    <s v="Device_158"/>
    <x v="3"/>
    <x v="4"/>
    <d v="2024-12-17T00:00:00"/>
    <x v="0"/>
    <n v="14"/>
    <n v="15"/>
    <n v="7"/>
    <n v="7"/>
    <n v="5"/>
    <x v="3"/>
    <n v="15"/>
    <n v="3"/>
    <x v="1"/>
  </r>
  <r>
    <s v="Device_159"/>
    <x v="0"/>
    <x v="5"/>
    <d v="2023-05-10T00:00:00"/>
    <x v="5"/>
    <n v="11"/>
    <n v="23"/>
    <n v="7"/>
    <n v="6"/>
    <n v="3"/>
    <x v="0"/>
    <n v="17"/>
    <n v="2"/>
    <x v="0"/>
  </r>
  <r>
    <s v="Device_160"/>
    <x v="0"/>
    <x v="2"/>
    <d v="2024-09-24T00:00:00"/>
    <x v="6"/>
    <n v="16"/>
    <n v="36"/>
    <n v="7"/>
    <n v="9"/>
    <n v="7"/>
    <x v="1"/>
    <n v="13"/>
    <n v="5"/>
    <x v="1"/>
  </r>
  <r>
    <s v="Device_161"/>
    <x v="1"/>
    <x v="1"/>
    <d v="2023-02-14T00:00:00"/>
    <x v="3"/>
    <n v="13"/>
    <n v="18"/>
    <n v="7"/>
    <n v="8"/>
    <n v="6"/>
    <x v="2"/>
    <n v="19"/>
    <n v="4"/>
    <x v="0"/>
  </r>
  <r>
    <s v="Device_162"/>
    <x v="3"/>
    <x v="3"/>
    <d v="2024-12-28T00:00:00"/>
    <x v="4"/>
    <n v="75"/>
    <n v="40"/>
    <n v="7"/>
    <n v="10"/>
    <n v="5"/>
    <x v="3"/>
    <n v="14"/>
    <n v="3"/>
    <x v="1"/>
  </r>
  <r>
    <s v="Device_163"/>
    <x v="2"/>
    <x v="4"/>
    <d v="2024-06-12T00:00:00"/>
    <x v="6"/>
    <n v="15"/>
    <n v="23"/>
    <n v="2"/>
    <n v="12"/>
    <n v="8"/>
    <x v="0"/>
    <n v="12"/>
    <n v="5"/>
    <x v="1"/>
  </r>
  <r>
    <s v="Device_164"/>
    <x v="0"/>
    <x v="5"/>
    <d v="2023-07-10T00:00:00"/>
    <x v="0"/>
    <n v="18"/>
    <n v="41"/>
    <n v="2"/>
    <n v="13"/>
    <n v="4"/>
    <x v="3"/>
    <n v="16"/>
    <n v="2"/>
    <x v="0"/>
  </r>
  <r>
    <s v="Device_165"/>
    <x v="0"/>
    <x v="2"/>
    <d v="2023-11-22T00:00:00"/>
    <x v="5"/>
    <n v="19"/>
    <n v="23"/>
    <n v="4"/>
    <n v="14"/>
    <n v="5"/>
    <x v="2"/>
    <n v="17"/>
    <n v="3"/>
    <x v="0"/>
  </r>
  <r>
    <s v="Device_166"/>
    <x v="3"/>
    <x v="1"/>
    <d v="2023-01-24T00:00:00"/>
    <x v="3"/>
    <n v="18"/>
    <n v="20"/>
    <n v="2"/>
    <n v="9"/>
    <n v="4"/>
    <x v="0"/>
    <n v="14"/>
    <n v="2"/>
    <x v="0"/>
  </r>
  <r>
    <s v="Device_167"/>
    <x v="0"/>
    <x v="0"/>
    <d v="2023-04-09T00:00:00"/>
    <x v="5"/>
    <n v="12"/>
    <n v="46"/>
    <n v="1"/>
    <n v="15"/>
    <n v="6"/>
    <x v="1"/>
    <n v="16"/>
    <n v="4"/>
    <x v="0"/>
  </r>
  <r>
    <s v="Device_168"/>
    <x v="2"/>
    <x v="4"/>
    <d v="2023-11-22T00:00:00"/>
    <x v="0"/>
    <n v="16"/>
    <n v="13"/>
    <n v="2"/>
    <n v="10"/>
    <n v="8"/>
    <x v="2"/>
    <n v="19"/>
    <n v="1"/>
    <x v="0"/>
  </r>
  <r>
    <s v="Device_169"/>
    <x v="0"/>
    <x v="5"/>
    <d v="2023-10-23T00:00:00"/>
    <x v="6"/>
    <n v="11"/>
    <n v="23"/>
    <n v="2"/>
    <n v="7"/>
    <n v="5"/>
    <x v="3"/>
    <n v="11"/>
    <n v="3"/>
    <x v="0"/>
  </r>
  <r>
    <s v="Device_170"/>
    <x v="1"/>
    <x v="3"/>
    <d v="2023-02-25T00:00:00"/>
    <x v="3"/>
    <n v="100"/>
    <n v="50"/>
    <n v="3"/>
    <n v="9"/>
    <n v="3"/>
    <x v="0"/>
    <n v="15"/>
    <n v="2"/>
    <x v="0"/>
  </r>
  <r>
    <s v="Device_171"/>
    <x v="0"/>
    <x v="2"/>
    <d v="2024-07-08T00:00:00"/>
    <x v="1"/>
    <n v="19"/>
    <n v="15"/>
    <n v="2"/>
    <n v="12"/>
    <n v="7"/>
    <x v="1"/>
    <n v="17"/>
    <n v="5"/>
    <x v="1"/>
  </r>
  <r>
    <s v="Device_172"/>
    <x v="3"/>
    <x v="1"/>
    <d v="2023-05-10T00:00:00"/>
    <x v="5"/>
    <n v="14"/>
    <n v="20"/>
    <n v="2"/>
    <n v="11"/>
    <n v="6"/>
    <x v="3"/>
    <n v="12"/>
    <n v="1"/>
    <x v="0"/>
  </r>
  <r>
    <s v="Device_173"/>
    <x v="0"/>
    <x v="0"/>
    <d v="2023-09-09T00:00:00"/>
    <x v="0"/>
    <n v="18"/>
    <n v="23"/>
    <n v="2"/>
    <n v="8"/>
    <n v="7"/>
    <x v="2"/>
    <n v="13"/>
    <n v="4"/>
    <x v="0"/>
  </r>
  <r>
    <s v="Device_174"/>
    <x v="1"/>
    <x v="4"/>
    <d v="2024-03-12T00:00:00"/>
    <x v="1"/>
    <n v="15"/>
    <n v="18"/>
    <n v="2"/>
    <n v="10"/>
    <n v="5"/>
    <x v="0"/>
    <n v="18"/>
    <n v="3"/>
    <x v="1"/>
  </r>
  <r>
    <s v="Device_175"/>
    <x v="0"/>
    <x v="2"/>
    <d v="2023-12-03T00:00:00"/>
    <x v="6"/>
    <n v="17"/>
    <n v="44"/>
    <n v="2"/>
    <n v="13"/>
    <n v="5"/>
    <x v="3"/>
    <n v="20"/>
    <n v="2"/>
    <x v="0"/>
  </r>
  <r>
    <s v="Device_176"/>
    <x v="2"/>
    <x v="3"/>
    <d v="2024-03-19T00:00:00"/>
    <x v="3"/>
    <n v="10"/>
    <n v="0"/>
    <n v="2"/>
    <n v="8"/>
    <n v="6"/>
    <x v="1"/>
    <n v="12"/>
    <n v="2"/>
    <x v="1"/>
  </r>
  <r>
    <s v="Device_177"/>
    <x v="0"/>
    <x v="2"/>
    <d v="2023-07-11T00:00:00"/>
    <x v="5"/>
    <n v="15"/>
    <n v="38"/>
    <n v="5"/>
    <n v="10"/>
    <n v="4"/>
    <x v="2"/>
    <n v="18"/>
    <n v="3"/>
    <x v="0"/>
  </r>
  <r>
    <s v="Device_178"/>
    <x v="3"/>
    <x v="4"/>
    <d v="2024-11-21T00:00:00"/>
    <x v="3"/>
    <n v="18"/>
    <n v="20"/>
    <n v="2"/>
    <n v="13"/>
    <n v="5"/>
    <x v="3"/>
    <n v="17"/>
    <n v="1"/>
    <x v="1"/>
  </r>
  <r>
    <s v="Device_179"/>
    <x v="1"/>
    <x v="5"/>
    <d v="2023-12-22T00:00:00"/>
    <x v="5"/>
    <n v="19"/>
    <n v="18"/>
    <n v="1"/>
    <n v="12"/>
    <n v="6"/>
    <x v="0"/>
    <n v="15"/>
    <n v="4"/>
    <x v="0"/>
  </r>
  <r>
    <s v="Device_180"/>
    <x v="2"/>
    <x v="0"/>
    <d v="2023-01-16T00:00:00"/>
    <x v="0"/>
    <n v="12"/>
    <n v="23"/>
    <n v="2"/>
    <n v="15"/>
    <n v="4"/>
    <x v="0"/>
    <n v="14"/>
    <n v="2"/>
    <x v="0"/>
  </r>
  <r>
    <s v="Device_181"/>
    <x v="0"/>
    <x v="1"/>
    <d v="2024-07-14T00:00:00"/>
    <x v="6"/>
    <n v="16"/>
    <n v="14"/>
    <n v="2"/>
    <n v="11"/>
    <n v="8"/>
    <x v="1"/>
    <n v="19"/>
    <n v="3"/>
    <x v="1"/>
  </r>
  <r>
    <s v="Device_182"/>
    <x v="0"/>
    <x v="3"/>
    <d v="2023-11-23T00:00:00"/>
    <x v="1"/>
    <n v="25"/>
    <n v="7.5"/>
    <n v="2"/>
    <n v="14"/>
    <n v="7"/>
    <x v="3"/>
    <n v="16"/>
    <n v="5"/>
    <x v="0"/>
  </r>
  <r>
    <s v="Device_183"/>
    <x v="3"/>
    <x v="4"/>
    <d v="2023-06-17T00:00:00"/>
    <x v="5"/>
    <n v="17"/>
    <n v="10"/>
    <n v="3"/>
    <n v="8"/>
    <n v="5"/>
    <x v="2"/>
    <n v="13"/>
    <n v="2"/>
    <x v="0"/>
  </r>
  <r>
    <s v="Device_184"/>
    <x v="1"/>
    <x v="2"/>
    <d v="2024-10-22T00:00:00"/>
    <x v="0"/>
    <n v="19"/>
    <n v="18"/>
    <n v="2"/>
    <n v="12"/>
    <n v="9"/>
    <x v="0"/>
    <n v="20"/>
    <n v="1"/>
    <x v="1"/>
  </r>
  <r>
    <s v="Device_185"/>
    <x v="0"/>
    <x v="5"/>
    <d v="2023-05-25T00:00:00"/>
    <x v="2"/>
    <n v="18"/>
    <n v="46"/>
    <n v="2"/>
    <n v="11"/>
    <n v="6"/>
    <x v="3"/>
    <n v="17"/>
    <n v="4"/>
    <x v="0"/>
  </r>
  <r>
    <s v="Device_186"/>
    <x v="2"/>
    <x v="3"/>
    <d v="2023-03-19T00:00:00"/>
    <x v="3"/>
    <n v="50"/>
    <n v="25"/>
    <n v="3"/>
    <n v="8"/>
    <n v="6"/>
    <x v="1"/>
    <n v="12"/>
    <n v="2"/>
    <x v="0"/>
  </r>
  <r>
    <s v="Device_187"/>
    <x v="0"/>
    <x v="2"/>
    <d v="2023-07-11T00:00:00"/>
    <x v="1"/>
    <n v="15"/>
    <n v="38"/>
    <n v="2"/>
    <n v="10"/>
    <n v="4"/>
    <x v="2"/>
    <n v="18"/>
    <n v="3"/>
    <x v="0"/>
  </r>
  <r>
    <s v="Device_188"/>
    <x v="3"/>
    <x v="4"/>
    <d v="2024-09-15T00:00:00"/>
    <x v="4"/>
    <n v="18"/>
    <n v="20"/>
    <n v="2"/>
    <n v="13"/>
    <n v="5"/>
    <x v="3"/>
    <n v="17"/>
    <n v="1"/>
    <x v="1"/>
  </r>
  <r>
    <s v="Device_189"/>
    <x v="1"/>
    <x v="5"/>
    <d v="2024-12-22T00:00:00"/>
    <x v="0"/>
    <n v="19"/>
    <n v="36"/>
    <n v="2"/>
    <n v="12"/>
    <n v="6"/>
    <x v="0"/>
    <n v="15"/>
    <n v="4"/>
    <x v="1"/>
  </r>
  <r>
    <s v="Device_190"/>
    <x v="2"/>
    <x v="0"/>
    <d v="2024-01-18T00:00:00"/>
    <x v="1"/>
    <n v="12"/>
    <n v="23"/>
    <n v="2"/>
    <n v="15"/>
    <n v="4"/>
    <x v="0"/>
    <n v="14"/>
    <n v="2"/>
    <x v="1"/>
  </r>
  <r>
    <s v="Device_191"/>
    <x v="0"/>
    <x v="1"/>
    <d v="2023-07-14T00:00:00"/>
    <x v="2"/>
    <n v="16"/>
    <n v="14"/>
    <n v="2"/>
    <n v="11"/>
    <n v="8"/>
    <x v="1"/>
    <n v="19"/>
    <n v="3"/>
    <x v="0"/>
  </r>
  <r>
    <s v="Device_192"/>
    <x v="0"/>
    <x v="3"/>
    <d v="2023-12-23T00:00:00"/>
    <x v="3"/>
    <n v="75"/>
    <n v="22.5"/>
    <n v="2"/>
    <n v="14"/>
    <n v="7"/>
    <x v="3"/>
    <n v="16"/>
    <n v="5"/>
    <x v="0"/>
  </r>
  <r>
    <s v="Device_193"/>
    <x v="3"/>
    <x v="4"/>
    <d v="2024-06-17T00:00:00"/>
    <x v="4"/>
    <n v="17"/>
    <n v="20"/>
    <n v="2"/>
    <n v="8"/>
    <n v="5"/>
    <x v="2"/>
    <n v="13"/>
    <n v="2"/>
    <x v="1"/>
  </r>
  <r>
    <s v="Device_194"/>
    <x v="1"/>
    <x v="2"/>
    <d v="2024-10-27T00:00:00"/>
    <x v="2"/>
    <n v="19"/>
    <n v="49"/>
    <n v="2"/>
    <n v="12"/>
    <n v="9"/>
    <x v="0"/>
    <n v="20"/>
    <n v="1"/>
    <x v="1"/>
  </r>
  <r>
    <s v="Device_195"/>
    <x v="0"/>
    <x v="5"/>
    <d v="2023-05-05T00:00:00"/>
    <x v="0"/>
    <n v="18"/>
    <n v="46"/>
    <n v="2"/>
    <n v="11"/>
    <n v="6"/>
    <x v="3"/>
    <n v="17"/>
    <n v="4"/>
    <x v="0"/>
  </r>
  <r>
    <s v="Device_196"/>
    <x v="2"/>
    <x v="3"/>
    <d v="2024-03-09T00:00:00"/>
    <x v="3"/>
    <n v="100"/>
    <n v="50"/>
    <n v="2"/>
    <n v="8"/>
    <n v="6"/>
    <x v="1"/>
    <n v="12"/>
    <n v="2"/>
    <x v="1"/>
  </r>
  <r>
    <s v="Device_197"/>
    <x v="0"/>
    <x v="2"/>
    <d v="2024-07-11T00:00:00"/>
    <x v="1"/>
    <n v="15"/>
    <n v="38"/>
    <n v="2"/>
    <n v="10"/>
    <n v="4"/>
    <x v="2"/>
    <n v="18"/>
    <n v="3"/>
    <x v="1"/>
  </r>
  <r>
    <s v="Device_198"/>
    <x v="3"/>
    <x v="4"/>
    <d v="2023-09-12T00:00:00"/>
    <x v="5"/>
    <n v="18"/>
    <n v="20"/>
    <n v="6"/>
    <n v="13"/>
    <n v="5"/>
    <x v="3"/>
    <n v="17"/>
    <n v="1"/>
    <x v="0"/>
  </r>
  <r>
    <s v="Device_199"/>
    <x v="1"/>
    <x v="5"/>
    <d v="2024-12-21T00:00:00"/>
    <x v="0"/>
    <n v="19"/>
    <n v="36"/>
    <n v="2"/>
    <n v="12"/>
    <n v="6"/>
    <x v="0"/>
    <n v="15"/>
    <n v="4"/>
    <x v="1"/>
  </r>
  <r>
    <s v="Device_200"/>
    <x v="2"/>
    <x v="0"/>
    <d v="2024-01-16T00:00:00"/>
    <x v="3"/>
    <n v="12"/>
    <n v="23"/>
    <n v="2"/>
    <n v="15"/>
    <n v="4"/>
    <x v="0"/>
    <n v="14"/>
    <n v="2"/>
    <x v="1"/>
  </r>
  <r>
    <s v="Device_201"/>
    <x v="0"/>
    <x v="1"/>
    <d v="2023-07-04T00:00:00"/>
    <x v="1"/>
    <n v="16"/>
    <n v="44"/>
    <n v="2"/>
    <n v="11"/>
    <n v="8"/>
    <x v="1"/>
    <n v="19"/>
    <n v="3"/>
    <x v="0"/>
  </r>
  <r>
    <s v="Device_202"/>
    <x v="0"/>
    <x v="3"/>
    <d v="2023-11-24T00:00:00"/>
    <x v="2"/>
    <n v="50"/>
    <n v="5"/>
    <n v="2"/>
    <n v="14"/>
    <n v="7"/>
    <x v="3"/>
    <n v="16"/>
    <n v="5"/>
    <x v="0"/>
  </r>
  <r>
    <s v="Device_203"/>
    <x v="3"/>
    <x v="4"/>
    <d v="2023-06-07T00:00:00"/>
    <x v="5"/>
    <n v="17"/>
    <n v="11"/>
    <n v="5"/>
    <n v="8"/>
    <n v="5"/>
    <x v="2"/>
    <n v="13"/>
    <n v="2"/>
    <x v="0"/>
  </r>
  <r>
    <s v="Device_204"/>
    <x v="1"/>
    <x v="2"/>
    <d v="2023-10-28T00:00:00"/>
    <x v="0"/>
    <n v="19"/>
    <n v="49"/>
    <n v="10"/>
    <n v="12"/>
    <n v="9"/>
    <x v="0"/>
    <n v="20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7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D3:E10" firstHeaderRow="1" firstDataRow="1" firstDataCol="1"/>
  <pivotFields count="14">
    <pivotField showAll="0"/>
    <pivotField showAll="0">
      <items count="5">
        <item x="1"/>
        <item x="2"/>
        <item x="3"/>
        <item x="0"/>
        <item t="default"/>
      </items>
    </pivotField>
    <pivotField axis="axisRow" showAll="0" sortType="descending">
      <items count="7">
        <item x="3"/>
        <item x="1"/>
        <item x="2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>
      <items count="8">
        <item x="5"/>
        <item x="4"/>
        <item x="0"/>
        <item x="2"/>
        <item x="6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2"/>
  </rowFields>
  <rowItems count="7">
    <i>
      <x v="2"/>
    </i>
    <i>
      <x v="4"/>
    </i>
    <i>
      <x/>
    </i>
    <i>
      <x v="1"/>
    </i>
    <i>
      <x v="5"/>
    </i>
    <i>
      <x v="3"/>
    </i>
    <i t="grand">
      <x/>
    </i>
  </rowItems>
  <colItems count="1">
    <i/>
  </colItems>
  <dataFields count="1">
    <dataField name="Sum of Total Violations" fld="6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N3:O8" firstHeaderRow="1" firstDataRow="1" firstDataCol="1"/>
  <pivotFields count="14">
    <pivotField showAll="0"/>
    <pivotField axis="axisRow" showAll="0">
      <items count="5">
        <item x="1"/>
        <item x="2"/>
        <item x="3"/>
        <item x="0"/>
        <item t="default"/>
      </items>
    </pivotField>
    <pivotField showAll="0">
      <items count="7">
        <item x="0"/>
        <item x="5"/>
        <item x="4"/>
        <item x="2"/>
        <item x="1"/>
        <item x="3"/>
        <item t="default"/>
      </items>
    </pivotField>
    <pivotField numFmtId="14" showAll="0"/>
    <pivotField showAll="0">
      <items count="8">
        <item x="5"/>
        <item x="4"/>
        <item x="0"/>
        <item x="2"/>
        <item x="6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Violations" fld="6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7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G3:H11" firstHeaderRow="1" firstDataRow="1" firstDataCol="1"/>
  <pivotFields count="14"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7">
        <item x="0"/>
        <item x="5"/>
        <item x="4"/>
        <item x="2"/>
        <item x="1"/>
        <item x="3"/>
        <item t="default"/>
      </items>
    </pivotField>
    <pivotField numFmtId="14" showAll="0"/>
    <pivotField axis="axisRow" showAll="0" sortType="ascending">
      <items count="8">
        <item x="1"/>
        <item x="3"/>
        <item x="6"/>
        <item x="2"/>
        <item x="0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4"/>
  </rowFields>
  <rowItems count="8">
    <i>
      <x/>
    </i>
    <i>
      <x v="2"/>
    </i>
    <i>
      <x v="3"/>
    </i>
    <i>
      <x v="5"/>
    </i>
    <i>
      <x v="1"/>
    </i>
    <i>
      <x v="6"/>
    </i>
    <i>
      <x v="4"/>
    </i>
    <i t="grand">
      <x/>
    </i>
  </rowItems>
  <colItems count="1">
    <i/>
  </colItems>
  <dataFields count="1">
    <dataField name="Sum of Active Violation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J3:L8" firstHeaderRow="0" firstDataRow="1" firstDataCol="1"/>
  <pivotFields count="14"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7">
        <item x="0"/>
        <item x="5"/>
        <item x="4"/>
        <item x="2"/>
        <item x="1"/>
        <item x="3"/>
        <item t="default"/>
      </items>
    </pivotField>
    <pivotField numFmtId="14" showAll="0"/>
    <pivotField showAll="0">
      <items count="8">
        <item x="5"/>
        <item x="4"/>
        <item x="0"/>
        <item x="2"/>
        <item x="6"/>
        <item x="3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ive Violations" fld="7" baseField="0" baseItem="0"/>
    <dataField name="Sum of Solved Violations" fld="8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7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0" firstHeaderRow="1" firstDataRow="1" firstDataCol="1"/>
  <pivotFields count="14"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7">
        <item x="0"/>
        <item x="5"/>
        <item x="4"/>
        <item x="2"/>
        <item x="1"/>
        <item x="3"/>
        <item t="default"/>
      </items>
    </pivotField>
    <pivotField numFmtId="14" showAll="0"/>
    <pivotField showAll="0">
      <items count="8">
        <item x="5"/>
        <item x="4"/>
        <item x="0"/>
        <item x="2"/>
        <item x="6"/>
        <item x="3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showAll="0">
      <items count="3">
        <item x="0"/>
        <item x="1"/>
        <item t="default"/>
      </items>
    </pivotField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Sum of Total Violations" fld="6" baseField="0" baseItem="0"/>
    <dataField name="Sum of Active Violations" fld="7" baseField="0" baseItem="0"/>
    <dataField name="Sum of Solved Violations" fld="8" baseField="0" baseItem="0"/>
    <dataField name="Sum of Ignored Violations" fld="9" baseField="0" baseItem="0"/>
    <dataField name="Sum of Environment Managed" fld="11" baseField="0" baseItem="0"/>
    <dataField name="Sum of Total Rules" fld="5" baseField="1" baseItem="64"/>
    <dataField name="Sum of Environment Disable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Q3:R8" firstHeaderRow="1" firstDataRow="1" firstDataCol="1"/>
  <pivotFields count="14">
    <pivotField showAll="0"/>
    <pivotField axis="axisRow" showAll="0">
      <items count="5">
        <item x="1"/>
        <item x="2"/>
        <item x="3"/>
        <item x="0"/>
        <item t="default"/>
      </items>
    </pivotField>
    <pivotField showAll="0">
      <items count="7">
        <item x="0"/>
        <item x="5"/>
        <item x="4"/>
        <item x="2"/>
        <item x="1"/>
        <item x="3"/>
        <item t="default"/>
      </items>
    </pivotField>
    <pivotField numFmtId="14" showAll="0"/>
    <pivotField showAll="0">
      <items count="8">
        <item x="5"/>
        <item x="4"/>
        <item x="0"/>
        <item x="2"/>
        <item x="6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olved Violations" fld="8" showDataAs="percentOfTotal" baseField="1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T3:W8" firstHeaderRow="0" firstDataRow="1" firstDataCol="1"/>
  <pivotFields count="14">
    <pivotField showAll="0"/>
    <pivotField axis="axisRow" showAll="0">
      <items count="5">
        <item x="1"/>
        <item x="2"/>
        <item x="3"/>
        <item x="0"/>
        <item t="default"/>
      </items>
    </pivotField>
    <pivotField showAll="0">
      <items count="7">
        <item x="0"/>
        <item x="5"/>
        <item x="4"/>
        <item x="2"/>
        <item x="1"/>
        <item x="3"/>
        <item t="default"/>
      </items>
    </pivotField>
    <pivotField numFmtId="14" showAll="0"/>
    <pivotField showAll="0">
      <items count="8">
        <item x="5"/>
        <item x="4"/>
        <item x="0"/>
        <item x="2"/>
        <item x="6"/>
        <item x="3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ctive Violations" fld="7" baseField="0" baseItem="0"/>
    <dataField name="Sum of Solved Violations" fld="8" baseField="0" baseItem="0"/>
    <dataField name="Sum of Ignored Violations" fld="9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23"/>
  <sheetViews>
    <sheetView showGridLines="0" tabSelected="1" topLeftCell="I1" zoomScale="70" zoomScaleNormal="70" workbookViewId="0">
      <selection activeCell="T2" sqref="T2:W8"/>
    </sheetView>
  </sheetViews>
  <sheetFormatPr defaultRowHeight="14.4" x14ac:dyDescent="0.3"/>
  <cols>
    <col min="1" max="1" width="27.109375" customWidth="1"/>
    <col min="2" max="2" width="5" customWidth="1"/>
    <col min="3" max="3" width="4.44140625" bestFit="1" customWidth="1"/>
    <col min="4" max="4" width="17.109375" customWidth="1"/>
    <col min="5" max="5" width="24.88671875" customWidth="1"/>
    <col min="6" max="6" width="17.6640625" customWidth="1"/>
    <col min="7" max="7" width="15.6640625" customWidth="1"/>
    <col min="8" max="8" width="26" customWidth="1"/>
    <col min="10" max="10" width="15.6640625" customWidth="1"/>
    <col min="11" max="11" width="26" customWidth="1"/>
    <col min="12" max="12" width="26.6640625" bestFit="1" customWidth="1"/>
    <col min="14" max="14" width="15.6640625" customWidth="1"/>
    <col min="15" max="15" width="24.88671875" customWidth="1"/>
    <col min="17" max="17" width="15.6640625" bestFit="1" customWidth="1"/>
    <col min="18" max="18" width="26.6640625" bestFit="1" customWidth="1"/>
    <col min="20" max="20" width="15.6640625" bestFit="1" customWidth="1"/>
    <col min="21" max="21" width="26" bestFit="1" customWidth="1"/>
    <col min="22" max="22" width="26.6640625" bestFit="1" customWidth="1"/>
    <col min="23" max="23" width="27.44140625" bestFit="1" customWidth="1"/>
  </cols>
  <sheetData>
    <row r="2" spans="1:23" x14ac:dyDescent="0.3">
      <c r="A2" s="1" t="s">
        <v>0</v>
      </c>
      <c r="B2" s="1"/>
      <c r="D2" s="1" t="s">
        <v>1</v>
      </c>
      <c r="E2" s="1"/>
      <c r="G2" s="1" t="s">
        <v>2</v>
      </c>
      <c r="H2" s="1"/>
      <c r="J2" s="1" t="s">
        <v>3</v>
      </c>
      <c r="K2" s="1"/>
      <c r="L2" s="1"/>
      <c r="N2" s="1" t="s">
        <v>4</v>
      </c>
      <c r="O2" s="1"/>
      <c r="P2" s="2"/>
      <c r="Q2" s="1" t="s">
        <v>5</v>
      </c>
      <c r="R2" s="1"/>
      <c r="T2" s="3" t="s">
        <v>6</v>
      </c>
      <c r="U2" s="3"/>
      <c r="V2" s="3"/>
      <c r="W2" s="3"/>
    </row>
    <row r="3" spans="1:23" x14ac:dyDescent="0.3">
      <c r="A3" s="14" t="s">
        <v>7</v>
      </c>
      <c r="D3" s="14" t="s">
        <v>8</v>
      </c>
      <c r="E3" t="s">
        <v>9</v>
      </c>
      <c r="G3" s="14" t="s">
        <v>8</v>
      </c>
      <c r="H3" t="s">
        <v>10</v>
      </c>
      <c r="J3" s="14" t="s">
        <v>8</v>
      </c>
      <c r="K3" t="s">
        <v>10</v>
      </c>
      <c r="L3" t="s">
        <v>11</v>
      </c>
      <c r="N3" s="14" t="s">
        <v>8</v>
      </c>
      <c r="O3" t="s">
        <v>9</v>
      </c>
      <c r="Q3" s="14" t="s">
        <v>8</v>
      </c>
      <c r="R3" t="s">
        <v>11</v>
      </c>
      <c r="T3" s="14" t="s">
        <v>8</v>
      </c>
      <c r="U3" t="s">
        <v>10</v>
      </c>
      <c r="V3" t="s">
        <v>11</v>
      </c>
      <c r="W3" t="s">
        <v>12</v>
      </c>
    </row>
    <row r="4" spans="1:23" x14ac:dyDescent="0.3">
      <c r="A4" s="4" t="s">
        <v>9</v>
      </c>
      <c r="B4" s="5">
        <v>2307</v>
      </c>
      <c r="D4" s="4" t="s">
        <v>13</v>
      </c>
      <c r="E4" s="5">
        <v>517</v>
      </c>
      <c r="G4" s="4" t="s">
        <v>14</v>
      </c>
      <c r="H4" s="5">
        <v>37</v>
      </c>
      <c r="J4" s="4" t="s">
        <v>15</v>
      </c>
      <c r="K4" s="5">
        <v>110</v>
      </c>
      <c r="L4" s="5">
        <v>242</v>
      </c>
      <c r="N4" s="4" t="s">
        <v>16</v>
      </c>
      <c r="O4" s="5">
        <v>409</v>
      </c>
      <c r="Q4" s="4" t="s">
        <v>16</v>
      </c>
      <c r="R4" s="6">
        <v>0.13832853025936601</v>
      </c>
      <c r="T4" s="4" t="s">
        <v>16</v>
      </c>
      <c r="U4" s="5">
        <v>89</v>
      </c>
      <c r="V4" s="5">
        <v>144</v>
      </c>
      <c r="W4" s="5">
        <v>94</v>
      </c>
    </row>
    <row r="5" spans="1:23" x14ac:dyDescent="0.3">
      <c r="A5" s="4" t="s">
        <v>10</v>
      </c>
      <c r="B5" s="5">
        <v>720</v>
      </c>
      <c r="D5" s="4" t="s">
        <v>17</v>
      </c>
      <c r="E5" s="5">
        <v>460</v>
      </c>
      <c r="G5" s="4" t="s">
        <v>18</v>
      </c>
      <c r="H5" s="5">
        <v>54</v>
      </c>
      <c r="J5" s="4" t="s">
        <v>19</v>
      </c>
      <c r="K5" s="5">
        <v>177</v>
      </c>
      <c r="L5" s="5">
        <v>237</v>
      </c>
      <c r="N5" s="4" t="s">
        <v>20</v>
      </c>
      <c r="O5" s="5">
        <v>406</v>
      </c>
      <c r="Q5" s="4" t="s">
        <v>20</v>
      </c>
      <c r="R5" s="6">
        <v>0.22574447646493756</v>
      </c>
      <c r="T5" s="4" t="s">
        <v>20</v>
      </c>
      <c r="U5" s="5">
        <v>131</v>
      </c>
      <c r="V5" s="5">
        <v>235</v>
      </c>
      <c r="W5" s="5">
        <v>114</v>
      </c>
    </row>
    <row r="6" spans="1:23" x14ac:dyDescent="0.3">
      <c r="A6" s="4" t="s">
        <v>11</v>
      </c>
      <c r="B6" s="5">
        <v>1041</v>
      </c>
      <c r="D6" s="4" t="s">
        <v>21</v>
      </c>
      <c r="E6" s="5">
        <v>375</v>
      </c>
      <c r="G6" s="4" t="s">
        <v>22</v>
      </c>
      <c r="H6" s="5">
        <v>68</v>
      </c>
      <c r="J6" s="4" t="s">
        <v>23</v>
      </c>
      <c r="K6" s="5">
        <v>283</v>
      </c>
      <c r="L6" s="5">
        <v>338</v>
      </c>
      <c r="N6" s="4" t="s">
        <v>24</v>
      </c>
      <c r="O6" s="5">
        <v>334</v>
      </c>
      <c r="Q6" s="4" t="s">
        <v>24</v>
      </c>
      <c r="R6" s="6">
        <v>0.1834774255523535</v>
      </c>
      <c r="T6" s="4" t="s">
        <v>24</v>
      </c>
      <c r="U6" s="5">
        <v>190</v>
      </c>
      <c r="V6" s="5">
        <v>191</v>
      </c>
      <c r="W6" s="5">
        <v>106</v>
      </c>
    </row>
    <row r="7" spans="1:23" x14ac:dyDescent="0.3">
      <c r="A7" s="4" t="s">
        <v>12</v>
      </c>
      <c r="B7" s="5">
        <v>531</v>
      </c>
      <c r="D7" s="4" t="s">
        <v>25</v>
      </c>
      <c r="E7" s="5">
        <v>352</v>
      </c>
      <c r="G7" s="4" t="s">
        <v>26</v>
      </c>
      <c r="H7" s="5">
        <v>121</v>
      </c>
      <c r="J7" s="4" t="s">
        <v>27</v>
      </c>
      <c r="K7" s="5">
        <v>150</v>
      </c>
      <c r="L7" s="5">
        <v>224</v>
      </c>
      <c r="N7" s="4" t="s">
        <v>28</v>
      </c>
      <c r="O7" s="5">
        <v>1158</v>
      </c>
      <c r="Q7" s="4" t="s">
        <v>28</v>
      </c>
      <c r="R7" s="6">
        <v>0.45244956772334294</v>
      </c>
      <c r="T7" s="4" t="s">
        <v>28</v>
      </c>
      <c r="U7" s="5">
        <v>310</v>
      </c>
      <c r="V7" s="5">
        <v>471</v>
      </c>
      <c r="W7" s="5">
        <v>217</v>
      </c>
    </row>
    <row r="8" spans="1:23" x14ac:dyDescent="0.3">
      <c r="A8" s="4" t="s">
        <v>29</v>
      </c>
      <c r="B8" s="5">
        <v>1526</v>
      </c>
      <c r="D8" s="4" t="s">
        <v>30</v>
      </c>
      <c r="E8" s="5">
        <v>316</v>
      </c>
      <c r="G8" s="4" t="s">
        <v>31</v>
      </c>
      <c r="H8" s="5">
        <v>126</v>
      </c>
      <c r="J8" s="4" t="s">
        <v>32</v>
      </c>
      <c r="K8" s="5">
        <v>720</v>
      </c>
      <c r="L8" s="5">
        <v>1041</v>
      </c>
      <c r="N8" s="4" t="s">
        <v>32</v>
      </c>
      <c r="O8" s="5">
        <v>2307</v>
      </c>
      <c r="Q8" s="4" t="s">
        <v>32</v>
      </c>
      <c r="R8" s="6">
        <v>1</v>
      </c>
      <c r="T8" s="4" t="s">
        <v>32</v>
      </c>
      <c r="U8" s="5">
        <v>720</v>
      </c>
      <c r="V8" s="5">
        <v>1041</v>
      </c>
      <c r="W8" s="5">
        <v>531</v>
      </c>
    </row>
    <row r="9" spans="1:23" x14ac:dyDescent="0.3">
      <c r="A9" s="4" t="s">
        <v>33</v>
      </c>
      <c r="B9" s="5">
        <v>2149</v>
      </c>
      <c r="D9" s="4" t="s">
        <v>34</v>
      </c>
      <c r="E9" s="5">
        <v>287</v>
      </c>
      <c r="G9" s="4" t="s">
        <v>35</v>
      </c>
      <c r="H9" s="5">
        <v>147</v>
      </c>
    </row>
    <row r="10" spans="1:23" x14ac:dyDescent="0.3">
      <c r="A10" s="4" t="s">
        <v>36</v>
      </c>
      <c r="B10" s="5">
        <v>273</v>
      </c>
      <c r="D10" s="4" t="s">
        <v>32</v>
      </c>
      <c r="E10" s="5">
        <v>2307</v>
      </c>
      <c r="G10" s="4" t="s">
        <v>37</v>
      </c>
      <c r="H10" s="5">
        <v>167</v>
      </c>
    </row>
    <row r="11" spans="1:23" x14ac:dyDescent="0.3">
      <c r="G11" s="4" t="s">
        <v>32</v>
      </c>
      <c r="H11" s="5">
        <v>720</v>
      </c>
    </row>
    <row r="15" spans="1:23" x14ac:dyDescent="0.3">
      <c r="A15" s="4"/>
      <c r="B15" s="5"/>
    </row>
    <row r="16" spans="1:23" x14ac:dyDescent="0.3">
      <c r="A16" s="7" t="s">
        <v>38</v>
      </c>
      <c r="B16" s="8" t="s">
        <v>7</v>
      </c>
      <c r="G16" s="9" t="s">
        <v>8</v>
      </c>
      <c r="H16" s="9" t="s">
        <v>10</v>
      </c>
      <c r="I16" s="9" t="s">
        <v>39</v>
      </c>
    </row>
    <row r="17" spans="1:9" x14ac:dyDescent="0.3">
      <c r="A17" s="10" t="s">
        <v>9</v>
      </c>
      <c r="B17" s="11">
        <v>2307</v>
      </c>
      <c r="F17" t="str">
        <f>G17 &amp; "-" &amp; H17</f>
        <v>Tokyo-37</v>
      </c>
      <c r="G17" s="12" t="str">
        <f>G4</f>
        <v>Tokyo</v>
      </c>
      <c r="H17" s="12">
        <f>GETPIVOTDATA("Active Violations",$G$3,"City",G17)</f>
        <v>37</v>
      </c>
      <c r="I17" s="12">
        <f>IF(H17&gt;100,200-H17,100-H17)</f>
        <v>63</v>
      </c>
    </row>
    <row r="18" spans="1:9" x14ac:dyDescent="0.3">
      <c r="A18" s="10" t="s">
        <v>10</v>
      </c>
      <c r="B18" s="11">
        <v>720</v>
      </c>
      <c r="C18" s="13">
        <f>B18/$B$17</f>
        <v>0.31209362808842656</v>
      </c>
      <c r="F18" t="str">
        <f t="shared" ref="F18:F23" si="0">G18 &amp; "-" &amp; H18</f>
        <v>Singapore-54</v>
      </c>
      <c r="G18" s="12" t="str">
        <f t="shared" ref="G18:G23" si="1">G5</f>
        <v>Singapore</v>
      </c>
      <c r="H18" s="12">
        <f t="shared" ref="H18:H23" si="2">GETPIVOTDATA("Active Violations",$G$3,"City",G18)</f>
        <v>54</v>
      </c>
      <c r="I18" s="12">
        <f t="shared" ref="I18:I23" si="3">IF(H18&gt;100,200-H18,100-H18)</f>
        <v>46</v>
      </c>
    </row>
    <row r="19" spans="1:9" x14ac:dyDescent="0.3">
      <c r="A19" s="10" t="s">
        <v>11</v>
      </c>
      <c r="B19" s="11">
        <v>1041</v>
      </c>
      <c r="C19" s="13">
        <f t="shared" ref="C19:C20" si="4">B19/$B$17</f>
        <v>0.45123537061118335</v>
      </c>
      <c r="F19" t="str">
        <f t="shared" si="0"/>
        <v>Paris-68</v>
      </c>
      <c r="G19" s="12" t="str">
        <f t="shared" si="1"/>
        <v>Paris</v>
      </c>
      <c r="H19" s="12">
        <f t="shared" si="2"/>
        <v>68</v>
      </c>
      <c r="I19" s="12">
        <f t="shared" si="3"/>
        <v>32</v>
      </c>
    </row>
    <row r="20" spans="1:9" x14ac:dyDescent="0.3">
      <c r="A20" s="10" t="s">
        <v>12</v>
      </c>
      <c r="B20" s="11">
        <v>531</v>
      </c>
      <c r="C20" s="13">
        <f t="shared" si="4"/>
        <v>0.23016905071521457</v>
      </c>
      <c r="F20" t="str">
        <f t="shared" si="0"/>
        <v>Mumbai-121</v>
      </c>
      <c r="G20" s="12" t="str">
        <f t="shared" si="1"/>
        <v>Mumbai</v>
      </c>
      <c r="H20" s="12">
        <f t="shared" si="2"/>
        <v>121</v>
      </c>
      <c r="I20" s="12">
        <f t="shared" si="3"/>
        <v>79</v>
      </c>
    </row>
    <row r="21" spans="1:9" x14ac:dyDescent="0.3">
      <c r="A21" s="10" t="s">
        <v>29</v>
      </c>
      <c r="B21" s="11">
        <v>1526</v>
      </c>
      <c r="F21" t="str">
        <f t="shared" si="0"/>
        <v>Sydney-126</v>
      </c>
      <c r="G21" s="12" t="str">
        <f t="shared" si="1"/>
        <v>Sydney</v>
      </c>
      <c r="H21" s="12">
        <f t="shared" si="2"/>
        <v>126</v>
      </c>
      <c r="I21" s="12">
        <f t="shared" si="3"/>
        <v>74</v>
      </c>
    </row>
    <row r="22" spans="1:9" x14ac:dyDescent="0.3">
      <c r="A22" s="12" t="s">
        <v>33</v>
      </c>
      <c r="B22" s="12">
        <v>1319</v>
      </c>
      <c r="F22" t="str">
        <f t="shared" si="0"/>
        <v>London-147</v>
      </c>
      <c r="G22" s="12" t="str">
        <f t="shared" si="1"/>
        <v>London</v>
      </c>
      <c r="H22" s="12">
        <f t="shared" si="2"/>
        <v>147</v>
      </c>
      <c r="I22" s="12">
        <f t="shared" si="3"/>
        <v>53</v>
      </c>
    </row>
    <row r="23" spans="1:9" x14ac:dyDescent="0.3">
      <c r="A23" s="12" t="s">
        <v>36</v>
      </c>
      <c r="B23" s="12">
        <v>273</v>
      </c>
      <c r="F23" t="str">
        <f t="shared" si="0"/>
        <v>New York-167</v>
      </c>
      <c r="G23" s="12" t="str">
        <f t="shared" si="1"/>
        <v>New York</v>
      </c>
      <c r="H23" s="12">
        <f t="shared" si="2"/>
        <v>167</v>
      </c>
      <c r="I23" s="12">
        <f t="shared" si="3"/>
        <v>33</v>
      </c>
    </row>
  </sheetData>
  <mergeCells count="7">
    <mergeCell ref="T2:W2"/>
    <mergeCell ref="A2:B2"/>
    <mergeCell ref="D2:E2"/>
    <mergeCell ref="G2:H2"/>
    <mergeCell ref="J2:L2"/>
    <mergeCell ref="N2:O2"/>
    <mergeCell ref="Q2:R2"/>
  </mergeCells>
  <pageMargins left="0.7" right="0.7" top="0.75" bottom="0.75" header="0.3" footer="0.3"/>
  <pageSetup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Kattappilly Ravi</dc:creator>
  <cp:lastModifiedBy>Aiswarya Kattappilly Ravi</cp:lastModifiedBy>
  <dcterms:created xsi:type="dcterms:W3CDTF">2026-01-20T22:15:14Z</dcterms:created>
  <dcterms:modified xsi:type="dcterms:W3CDTF">2026-01-20T22:15:26Z</dcterms:modified>
</cp:coreProperties>
</file>